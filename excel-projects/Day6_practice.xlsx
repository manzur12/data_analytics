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Week 1\Day 6\"/>
    </mc:Choice>
  </mc:AlternateContent>
  <xr:revisionPtr revIDLastSave="0" documentId="8_{E1EB1884-BFA7-49D9-BBCD-BC615047D43D}" xr6:coauthVersionLast="47" xr6:coauthVersionMax="47" xr10:uidLastSave="{00000000-0000-0000-0000-000000000000}"/>
  <bookViews>
    <workbookView xWindow="14295" yWindow="0" windowWidth="14610" windowHeight="16305" activeTab="1" xr2:uid="{E3DC5027-B628-41DD-9F0B-723EE25442B7}"/>
  </bookViews>
  <sheets>
    <sheet name="Pivot table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E16" i="1" a="1"/>
  <c r="E16" i="1" s="1"/>
  <c r="E15" i="1"/>
  <c r="A26" i="1"/>
  <c r="A20" i="1"/>
  <c r="F3" i="1"/>
  <c r="F4" i="1"/>
  <c r="F5" i="1"/>
  <c r="F6" i="1"/>
  <c r="F7" i="1"/>
  <c r="F8" i="1"/>
  <c r="F9" i="1"/>
  <c r="F10" i="1"/>
  <c r="F11" i="1"/>
  <c r="F2" i="1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<sst xmlns="http://schemas.openxmlformats.org/spreadsheetml/2006/main" count="49" uniqueCount="24">
  <si>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Region</t>
  </si>
  <si>
    <t>Category</t>
  </si>
  <si>
    <t>Sales</t>
  </si>
  <si>
    <t>Month</t>
  </si>
  <si>
    <t>Dhaka</t>
  </si>
  <si>
    <t>Electronics</t>
  </si>
  <si>
    <t>Chittagong</t>
  </si>
  <si>
    <t>Food</t>
  </si>
  <si>
    <t>Khulna</t>
  </si>
  <si>
    <t>Clothing</t>
  </si>
  <si>
    <t>Rajshahi</t>
  </si>
  <si>
    <t>Sales category</t>
  </si>
  <si>
    <t>Row Labels</t>
  </si>
  <si>
    <t>Grand Total</t>
  </si>
  <si>
    <t>Column Labels</t>
  </si>
  <si>
    <t>Sum of Sales</t>
  </si>
  <si>
    <t>Product Info</t>
  </si>
  <si>
    <t>Gadget</t>
  </si>
  <si>
    <t>Grocery</t>
  </si>
  <si>
    <t>Apparel</t>
  </si>
  <si>
    <t>Product Info(using Xlookup)</t>
  </si>
  <si>
    <t>sumifs</t>
  </si>
  <si>
    <t>filter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</si>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</sst>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0.000000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8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jurul alam Piash" refreshedDate="46174.961219560188" createdVersion="8" refreshedVersion="8" minRefreshableVersion="3" recordCount="10" xr:uid="{7A7CB8B5-6272-4D00-9C74-B620ED2CDACC}">
  <cacheSource type="worksheet">
    <worksheetSource ref="A1:C11" sheet="Sheet1"/>
  </cacheSource>
  <cacheFields count="3">
    <cacheField name="Region" numFmtId="0">
      <sharedItems count="4">
        <s v="Dhaka"/>
        <s v="Chittagong"/>
        <s v="Khulna"/>
        <s v="Rajshahi"/>
      </sharedItems>
    </cacheField>
    <cacheField name="Category" numFmtId="0">
      <sharedItems count="3">
        <s v="Electronics"/>
        <s v="Food"/>
        <s v="Clothing"/>
      </sharedItems>
    </cacheField>
    <cacheField name="Sales" numFmtId="0">
      <sharedItems containsSemiMixedTypes="0" containsString="0" containsNumber="1" containsInteger="1" minValue="15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0000"/>
  </r>
  <r>
    <x v="1"/>
    <x v="1"/>
    <n v="30000"/>
  </r>
  <r>
    <x v="0"/>
    <x v="1"/>
    <n v="45000"/>
  </r>
  <r>
    <x v="2"/>
    <x v="0"/>
    <n v="20000"/>
  </r>
  <r>
    <x v="0"/>
    <x v="2"/>
    <n v="35000"/>
  </r>
  <r>
    <x v="1"/>
    <x v="0"/>
    <n v="40000"/>
  </r>
  <r>
    <x v="0"/>
    <x v="1"/>
    <n v="60000"/>
  </r>
  <r>
    <x v="3"/>
    <x v="2"/>
    <n v="15000"/>
  </r>
  <r>
    <x v="0"/>
    <x v="0"/>
    <n v="55000"/>
  </r>
  <r>
    <x v="1"/>
    <x v="1"/>
    <n v="3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CAD11-F5F7-4432-B137-1504508E41F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5">
        <item x="1"/>
        <item x="0"/>
        <item x="2"/>
        <item x="3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5A1A-A0C7-420C-A688-143964BFC2BA}">
  <dimension ref="A3:E9"/>
  <sheetViews>
    <sheetView workbookViewId="0">
      <selection activeCell="C29" sqref="C29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0.5703125" bestFit="1" customWidth="1"/>
    <col min="4" max="4" width="7" bestFit="1" customWidth="1"/>
    <col min="5" max="5" width="11.28515625" bestFit="1" customWidth="1"/>
    <col min="6" max="6" width="10.5703125" bestFit="1" customWidth="1"/>
    <col min="7" max="7" width="7" bestFit="1" customWidth="1"/>
    <col min="8" max="8" width="11.28515625" bestFit="1" customWidth="1"/>
    <col min="9" max="9" width="10.5703125" bestFit="1" customWidth="1"/>
    <col min="10" max="10" width="12" bestFit="1" customWidth="1"/>
    <col min="11" max="11" width="10.28515625" bestFit="1" customWidth="1"/>
    <col min="12" max="12" width="13.42578125" bestFit="1" customWidth="1"/>
    <col min="13" max="13" width="11.28515625" bestFit="1" customWidth="1"/>
  </cols>
  <sheetData>
    <row r="3" spans="1:5" x14ac:dyDescent="0.25">
      <c r="A3" s="1" t="s">
        <v>15</v>
      </c>
      <c r="B3" s="1" t="s">
        <v>14</v>
      </c>
    </row>
    <row r="4" spans="1:5" x14ac:dyDescent="0.25">
      <c r="A4" s="1" t="s">
        <v>12</v>
      </c>
      <c r="B4" t="s">
        <v>9</v>
      </c>
      <c r="C4" t="s">
        <v>5</v>
      </c>
      <c r="D4" t="s">
        <v>7</v>
      </c>
      <c r="E4" t="s">
        <v>13</v>
      </c>
    </row>
    <row r="5" spans="1:5" x14ac:dyDescent="0.25">
      <c r="A5" s="2" t="s">
        <v>6</v>
      </c>
      <c r="B5" s="3"/>
      <c r="C5" s="3">
        <v>40000</v>
      </c>
      <c r="D5" s="3">
        <v>62000</v>
      </c>
      <c r="E5" s="3">
        <v>102000</v>
      </c>
    </row>
    <row r="6" spans="1:5" x14ac:dyDescent="0.25">
      <c r="A6" s="2" t="s">
        <v>4</v>
      </c>
      <c r="B6" s="3">
        <v>35000</v>
      </c>
      <c r="C6" s="3">
        <v>105000</v>
      </c>
      <c r="D6" s="3">
        <v>105000</v>
      </c>
      <c r="E6" s="3">
        <v>245000</v>
      </c>
    </row>
    <row r="7" spans="1:5" x14ac:dyDescent="0.25">
      <c r="A7" s="2" t="s">
        <v>8</v>
      </c>
      <c r="B7" s="3"/>
      <c r="C7" s="3">
        <v>20000</v>
      </c>
      <c r="D7" s="3"/>
      <c r="E7" s="3">
        <v>20000</v>
      </c>
    </row>
    <row r="8" spans="1:5" x14ac:dyDescent="0.25">
      <c r="A8" s="2" t="s">
        <v>10</v>
      </c>
      <c r="B8" s="3">
        <v>15000</v>
      </c>
      <c r="C8" s="3"/>
      <c r="D8" s="3"/>
      <c r="E8" s="3">
        <v>15000</v>
      </c>
    </row>
    <row r="9" spans="1:5" x14ac:dyDescent="0.25">
      <c r="A9" s="2" t="s">
        <v>13</v>
      </c>
      <c r="B9" s="3">
        <v>50000</v>
      </c>
      <c r="C9" s="3">
        <v>165000</v>
      </c>
      <c r="D9" s="3">
        <v>167000</v>
      </c>
      <c r="E9" s="3">
        <v>382000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FC69-E8E9-4C44-8E0A-0B0438B42041}">
  <dimension ref="A1:K31"/>
  <sheetViews>
    <sheetView tabSelected="1" workbookViewId="0">
      <selection activeCell="D32" sqref="D32"/>
    </sheetView>
  </sheetViews>
  <sheetFormatPr defaultRowHeight="15" x14ac:dyDescent="0.25"/>
  <cols>
    <col min="1" max="1" width="21.140625" bestFit="1" customWidth="1"/>
    <col min="2" max="2" width="10.5703125" bestFit="1" customWidth="1"/>
    <col min="5" max="5" width="13.7109375" bestFit="1" customWidth="1"/>
    <col min="6" max="6" width="2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20</v>
      </c>
    </row>
    <row r="2" spans="1:11" x14ac:dyDescent="0.25">
      <c r="A2" t="s">
        <v>4</v>
      </c>
      <c r="B2" t="s">
        <v>5</v>
      </c>
      <c r="C2">
        <v>50000</v>
      </c>
      <c r="D2">
        <v>1</v>
      </c>
      <c r="E2" t="str" cm="1">
        <f t="array" ref="E2">_xlfn.IFS(C2&gt;=50000,"Premium",C2&gt;=30000,"Standard",C2&lt;30000,"Basic")</f>
        <v>Premium</v>
      </c>
      <c r="F2" t="str">
        <f>_xlfn.XLOOKUP(B2,$J$3:$J$5,$K$3:$K$5,"Not Found")</f>
        <v>Gadget</v>
      </c>
      <c r="J2" t="s">
        <v>1</v>
      </c>
      <c r="K2" t="s">
        <v>16</v>
      </c>
    </row>
    <row r="3" spans="1:11" x14ac:dyDescent="0.25">
      <c r="A3" t="s">
        <v>6</v>
      </c>
      <c r="B3" t="s">
        <v>7</v>
      </c>
      <c r="C3">
        <v>30000</v>
      </c>
      <c r="D3">
        <v>2</v>
      </c>
      <c r="E3" t="str" cm="1">
        <f t="array" ref="E3">_xlfn.IFS(C3&gt;=50000,"Premium",C3&gt;=30000,"Standard",C3&lt;30000,"Basic")</f>
        <v>Standard</v>
      </c>
      <c r="F3" t="str">
        <f t="shared" ref="F3:F11" si="0">_xlfn.XLOOKUP(B3,$J$3:$J$5,$K$3:$K$5,"Not Found")</f>
        <v>Grocery</v>
      </c>
      <c r="J3" t="s">
        <v>5</v>
      </c>
      <c r="K3" t="s">
        <v>17</v>
      </c>
    </row>
    <row r="4" spans="1:11" x14ac:dyDescent="0.25">
      <c r="A4" t="s">
        <v>4</v>
      </c>
      <c r="B4" t="s">
        <v>7</v>
      </c>
      <c r="C4">
        <v>45000</v>
      </c>
      <c r="D4">
        <v>3</v>
      </c>
      <c r="E4" t="str" cm="1">
        <f t="array" ref="E4">_xlfn.IFS(C4&gt;=50000,"Premium",C4&gt;=30000,"Standard",C4&lt;30000,"Basic")</f>
        <v>Standard</v>
      </c>
      <c r="F4" t="str">
        <f t="shared" si="0"/>
        <v>Grocery</v>
      </c>
      <c r="J4" t="s">
        <v>7</v>
      </c>
      <c r="K4" t="s">
        <v>18</v>
      </c>
    </row>
    <row r="5" spans="1:11" x14ac:dyDescent="0.25">
      <c r="A5" t="s">
        <v>8</v>
      </c>
      <c r="B5" t="s">
        <v>5</v>
      </c>
      <c r="C5">
        <v>20000</v>
      </c>
      <c r="D5">
        <v>4</v>
      </c>
      <c r="E5" t="str" cm="1">
        <f t="array" ref="E5">_xlfn.IFS(C5&gt;=50000,"Premium",C5&gt;=30000,"Standard",C5&lt;30000,"Basic")</f>
        <v>Basic</v>
      </c>
      <c r="F5" t="str">
        <f t="shared" si="0"/>
        <v>Gadget</v>
      </c>
      <c r="J5" t="s">
        <v>9</v>
      </c>
      <c r="K5" t="s">
        <v>19</v>
      </c>
    </row>
    <row r="6" spans="1:11" x14ac:dyDescent="0.25">
      <c r="A6" t="s">
        <v>4</v>
      </c>
      <c r="B6" t="s">
        <v>9</v>
      </c>
      <c r="C6">
        <v>35000</v>
      </c>
      <c r="D6">
        <v>5</v>
      </c>
      <c r="E6" t="str" cm="1">
        <f t="array" ref="E6">_xlfn.IFS(C6&gt;=50000,"Premium",C6&gt;=30000,"Standard",C6&lt;30000,"Basic")</f>
        <v>Standard</v>
      </c>
      <c r="F6" t="str">
        <f t="shared" si="0"/>
        <v>Apparel</v>
      </c>
    </row>
    <row r="7" spans="1:11" x14ac:dyDescent="0.25">
      <c r="A7" t="s">
        <v>6</v>
      </c>
      <c r="B7" t="s">
        <v>5</v>
      </c>
      <c r="C7">
        <v>40000</v>
      </c>
      <c r="D7">
        <v>6</v>
      </c>
      <c r="E7" t="str" cm="1">
        <f t="array" ref="E7">_xlfn.IFS(C7&gt;=50000,"Premium",C7&gt;=30000,"Standard",C7&lt;30000,"Basic")</f>
        <v>Standard</v>
      </c>
      <c r="F7" t="str">
        <f t="shared" si="0"/>
        <v>Gadget</v>
      </c>
    </row>
    <row r="8" spans="1:11" x14ac:dyDescent="0.25">
      <c r="A8" t="s">
        <v>4</v>
      </c>
      <c r="B8" t="s">
        <v>7</v>
      </c>
      <c r="C8">
        <v>60000</v>
      </c>
      <c r="D8">
        <v>7</v>
      </c>
      <c r="E8" t="str" cm="1">
        <f t="array" ref="E8">_xlfn.IFS(C8&gt;=50000,"Premium",C8&gt;=30000,"Standard",C8&lt;30000,"Basic")</f>
        <v>Premium</v>
      </c>
      <c r="F8" t="str">
        <f t="shared" si="0"/>
        <v>Grocery</v>
      </c>
    </row>
    <row r="9" spans="1:11" x14ac:dyDescent="0.25">
      <c r="A9" t="s">
        <v>10</v>
      </c>
      <c r="B9" t="s">
        <v>9</v>
      </c>
      <c r="C9">
        <v>15000</v>
      </c>
      <c r="D9">
        <v>8</v>
      </c>
      <c r="E9" t="str" cm="1">
        <f t="array" ref="E9">_xlfn.IFS(C9&gt;=50000,"Premium",C9&gt;=30000,"Standard",C9&lt;30000,"Basic")</f>
        <v>Basic</v>
      </c>
      <c r="F9" t="str">
        <f t="shared" si="0"/>
        <v>Apparel</v>
      </c>
    </row>
    <row r="10" spans="1:11" x14ac:dyDescent="0.25">
      <c r="A10" t="s">
        <v>4</v>
      </c>
      <c r="B10" t="s">
        <v>5</v>
      </c>
      <c r="C10">
        <v>55000</v>
      </c>
      <c r="D10">
        <v>9</v>
      </c>
      <c r="E10" t="str" cm="1">
        <f t="array" ref="E10">_xlfn.IFS(C10&gt;=50000,"Premium",C10&gt;=30000,"Standard",C10&lt;30000,"Basic")</f>
        <v>Premium</v>
      </c>
      <c r="F10" t="str">
        <f t="shared" si="0"/>
        <v>Gadget</v>
      </c>
    </row>
    <row r="11" spans="1:11" x14ac:dyDescent="0.25">
      <c r="A11" t="s">
        <v>6</v>
      </c>
      <c r="B11" t="s">
        <v>7</v>
      </c>
      <c r="C11">
        <v>32000</v>
      </c>
      <c r="D11">
        <v>10</v>
      </c>
      <c r="E11" t="str" cm="1">
        <f t="array" ref="E11">_xlfn.IFS(C11&gt;=50000,"Premium",C11&gt;=30000,"Standard",C11&lt;30000,"Basic")</f>
        <v>Standard</v>
      </c>
      <c r="F11" t="str">
        <f t="shared" si="0"/>
        <v>Grocery</v>
      </c>
    </row>
    <row r="15" spans="1:11" x14ac:dyDescent="0.25">
      <c r="D15" t="s">
        <v>21</v>
      </c>
      <c r="E15">
        <f>SUMIFS(C2:C11,A2:A11,"Dhaka",B2:B11,"Electronics")</f>
        <v>105000</v>
      </c>
    </row>
    <row r="16" spans="1:11" x14ac:dyDescent="0.25">
      <c r="D16" t="s">
        <v>22</v>
      </c>
      <c r="E16" t="str" cm="1">
        <f t="array" ref="E16:G19">_xlfn._xlws.FILTER(A2:C11,B2:B11="Food","not found")</f>
        <v>Chittagong</v>
      </c>
      <c r="F16" t="str">
        <v>Food</v>
      </c>
      <c r="G16">
        <v>30000</v>
      </c>
    </row>
    <row r="17" spans="1:7" x14ac:dyDescent="0.25">
      <c r="E17" t="str">
        <v>Dhaka</v>
      </c>
      <c r="F17" t="str">
        <v>Food</v>
      </c>
      <c r="G17">
        <v>45000</v>
      </c>
    </row>
    <row r="18" spans="1:7" x14ac:dyDescent="0.25">
      <c r="E18" t="str">
        <v>Dhaka</v>
      </c>
      <c r="F18" t="str">
        <v>Food</v>
      </c>
      <c r="G18">
        <v>60000</v>
      </c>
    </row>
    <row r="19" spans="1:7" x14ac:dyDescent="0.25">
      <c r="E19" t="str">
        <v>Chittagong</v>
      </c>
      <c r="F19" t="str">
        <v>Food</v>
      </c>
      <c r="G19">
        <v>32000</v>
      </c>
    </row>
    <row r="20" spans="1:7" x14ac:dyDescent="0.25">
      <c r="A20" s="4">
        <f>PMT(10%/12,10*12,-2000000)</f>
        <v>26430.147376352332</v>
      </c>
    </row>
    <row r="24" spans="1:7" x14ac:dyDescent="0.25">
      <c r="A24">
        <v>3000000</v>
      </c>
      <c r="B24">
        <v>800000</v>
      </c>
      <c r="C24">
        <v>1000000</v>
      </c>
      <c r="D24">
        <v>1200000</v>
      </c>
      <c r="E24">
        <v>1400000</v>
      </c>
      <c r="F24">
        <v>1600000</v>
      </c>
    </row>
    <row r="25" spans="1:7" x14ac:dyDescent="0.25">
      <c r="A25" s="5"/>
    </row>
    <row r="26" spans="1:7" x14ac:dyDescent="0.25">
      <c r="A26" s="4">
        <f>NPV(0.12,B24:F24)-A24</f>
        <v>1163224.1681293496</v>
      </c>
    </row>
    <row r="31" spans="1:7" x14ac:dyDescent="0.25">
      <c r="C31" t="s">
        <v>23</v>
      </c>
      <c r="D31">
        <f>_xlfn.FORECAST.LINEAR(7,C2:C7,D2:D7)</f>
        <v>30666.666666666664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Munjurul Alam Piash</dc:creator>
  <cp:lastModifiedBy>Munjurul Alam Piash</cp:lastModifiedBy>
  <dcterms:created xsi:type="dcterms:W3CDTF">2026-06-01T16:57:53Z</dcterms:created>
  <dcterms:modified xsi:type="dcterms:W3CDTF">2026-06-01T17:16:16Z</dcterms:modified>
</cp:coreProperties>
</file>