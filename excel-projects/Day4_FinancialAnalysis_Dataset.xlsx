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ata analytics\Week 1\Day 4\"/>
    </mc:Choice>
  </mc:AlternateContent>
  <xr:revisionPtr revIDLastSave="0" documentId="13_ncr:1_{A398AF01-6808-44C3-A942-D1DBD08FBEF9}" xr6:coauthVersionLast="47" xr6:coauthVersionMax="47" xr10:uidLastSave="{00000000-0000-0000-0000-000000000000}"/>
  <bookViews>
    <workbookView xWindow="14295" yWindow="0" windowWidth="14610" windowHeight="16305" firstSheet="3" activeTab="4" xr2:uid="{00000000-000D-0000-FFFF-FFFF00000000}"/>
  </bookViews>
  <sheets>
    <sheet name="Financial Ratios" sheetId="1" r:id="rId1"/>
    <sheet name="Forecasting" sheetId="2" r:id="rId2"/>
    <sheet name="Working Capital" sheetId="3" r:id="rId3"/>
    <sheet name="Variance Analysis" sheetId="4" r:id="rId4"/>
    <sheet name="SUMIFS Practi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5" l="1"/>
  <c r="J10" i="5"/>
  <c r="J9" i="5"/>
  <c r="J8" i="5"/>
  <c r="J7" i="5"/>
  <c r="J6" i="5"/>
  <c r="J5" i="5"/>
  <c r="J4" i="5"/>
  <c r="J5" i="4"/>
  <c r="J6" i="4"/>
  <c r="J7" i="4"/>
  <c r="J8" i="4"/>
  <c r="J9" i="4"/>
  <c r="J10" i="4"/>
  <c r="J11" i="4"/>
  <c r="J12" i="4"/>
  <c r="J13" i="4"/>
  <c r="J14" i="4"/>
  <c r="J15" i="4"/>
  <c r="I5" i="4"/>
  <c r="I6" i="4"/>
  <c r="I7" i="4"/>
  <c r="I8" i="4"/>
  <c r="I9" i="4"/>
  <c r="I10" i="4"/>
  <c r="I11" i="4"/>
  <c r="I12" i="4"/>
  <c r="I13" i="4"/>
  <c r="I14" i="4"/>
  <c r="I15" i="4"/>
  <c r="F5" i="4"/>
  <c r="F6" i="4"/>
  <c r="F7" i="4"/>
  <c r="F8" i="4"/>
  <c r="F9" i="4"/>
  <c r="F10" i="4"/>
  <c r="F11" i="4"/>
  <c r="F12" i="4"/>
  <c r="F13" i="4"/>
  <c r="F14" i="4"/>
  <c r="F15" i="4"/>
  <c r="E5" i="4"/>
  <c r="E6" i="4"/>
  <c r="E7" i="4"/>
  <c r="E8" i="4"/>
  <c r="E9" i="4"/>
  <c r="E10" i="4"/>
  <c r="E11" i="4"/>
  <c r="E12" i="4"/>
  <c r="E13" i="4"/>
  <c r="E14" i="4"/>
  <c r="E15" i="4"/>
  <c r="D5" i="4"/>
  <c r="D6" i="4"/>
  <c r="D7" i="4"/>
  <c r="D8" i="4"/>
  <c r="D9" i="4"/>
  <c r="D10" i="4"/>
  <c r="D11" i="4"/>
  <c r="D12" i="4"/>
  <c r="D13" i="4"/>
  <c r="D14" i="4"/>
  <c r="D15" i="4"/>
  <c r="E19" i="3"/>
  <c r="E20" i="3"/>
  <c r="E18" i="3"/>
  <c r="B13" i="3"/>
  <c r="B12" i="3"/>
  <c r="B11" i="3"/>
  <c r="B14" i="3" s="1"/>
  <c r="D4" i="2"/>
  <c r="E4" i="2" s="1"/>
  <c r="B23" i="2"/>
  <c r="B22" i="2"/>
  <c r="B21" i="2"/>
  <c r="C14" i="2"/>
  <c r="C15" i="2"/>
  <c r="C16" i="2"/>
  <c r="C17" i="2"/>
  <c r="C18" i="2"/>
  <c r="C13" i="2"/>
  <c r="E7" i="2"/>
  <c r="D5" i="2"/>
  <c r="E5" i="2" s="1"/>
  <c r="D6" i="2"/>
  <c r="E6" i="2" s="1"/>
  <c r="D7" i="2"/>
  <c r="D8" i="2"/>
  <c r="E8" i="2" s="1"/>
  <c r="D9" i="2"/>
  <c r="E9" i="2" s="1"/>
  <c r="B17" i="1"/>
  <c r="B16" i="1"/>
  <c r="B15" i="1"/>
  <c r="B14" i="1"/>
  <c r="B13" i="1"/>
  <c r="J4" i="4"/>
  <c r="I4" i="4"/>
  <c r="F4" i="4"/>
  <c r="E4" i="4"/>
  <c r="D4" i="4"/>
</calcChain>
</file>

<file path=xl/sharedStrings.xml><?xml version="1.0" encoding="utf-8"?>
<sst xmlns="http://schemas.openxmlformats.org/spreadsheetml/2006/main" count="316" uniqueCount="172">
  <si>
    <t>📊 Financial Ratio Analysis | 🟡Yellow=formula দাও | BD Company Data</t>
  </si>
  <si>
    <t>📌 Company Financial Data (৳ কোটি)</t>
  </si>
  <si>
    <t>Current Assets</t>
  </si>
  <si>
    <t>Current Liabilities</t>
  </si>
  <si>
    <t>Inventory</t>
  </si>
  <si>
    <t>Net Profit</t>
  </si>
  <si>
    <t>Revenue</t>
  </si>
  <si>
    <t>Shareholders Equity</t>
  </si>
  <si>
    <t>Total Debt</t>
  </si>
  <si>
    <t>🎯 RESULTS — Yellow cells-এ formula দাও</t>
  </si>
  <si>
    <t>Current Ratio</t>
  </si>
  <si>
    <t>Quick Ratio</t>
  </si>
  <si>
    <t>Net Profit Margin (%)</t>
  </si>
  <si>
    <t>ROE (%)</t>
  </si>
  <si>
    <t>Debt-to-Equity</t>
  </si>
  <si>
    <t>📈 Sales Forecasting | 🟡Yellow=formula দাও | BD FMCG Sales Data</t>
  </si>
  <si>
    <t>Month</t>
  </si>
  <si>
    <t>Month#</t>
  </si>
  <si>
    <t>Actual Sales (৳)</t>
  </si>
  <si>
    <t>Forecast (৳)</t>
  </si>
  <si>
    <t>Difference</t>
  </si>
  <si>
    <t>Jan 2024</t>
  </si>
  <si>
    <t>Feb 2024</t>
  </si>
  <si>
    <t>Mar 2024</t>
  </si>
  <si>
    <t>Apr 2024</t>
  </si>
  <si>
    <t>May 2024</t>
  </si>
  <si>
    <t>Jun 2024</t>
  </si>
  <si>
    <t>📊 Future Forecast (Month 7-12)</t>
  </si>
  <si>
    <t>Forecast</t>
  </si>
  <si>
    <t>Jul 2024</t>
  </si>
  <si>
    <t>Aug 2024</t>
  </si>
  <si>
    <t>Sep 2024</t>
  </si>
  <si>
    <t>Oct 2024</t>
  </si>
  <si>
    <t>Nov 2024</t>
  </si>
  <si>
    <t>Dec 2024</t>
  </si>
  <si>
    <t>📊 Statistics</t>
  </si>
  <si>
    <t>SLOPE:</t>
  </si>
  <si>
    <t>INTERCEPT:</t>
  </si>
  <si>
    <t>CORREL:</t>
  </si>
  <si>
    <t>💰 Working Capital &amp; CCC | 🟡Yellow=formula দাও | RMG Factory Bangladesh</t>
  </si>
  <si>
    <t>📌 INPUTS (৳ কোটি)</t>
  </si>
  <si>
    <t>Inventory (Average)</t>
  </si>
  <si>
    <t>COGS (Annual)</t>
  </si>
  <si>
    <t>Accounts Receivable</t>
  </si>
  <si>
    <t>Revenue (Annual)</t>
  </si>
  <si>
    <t>Accounts Payable</t>
  </si>
  <si>
    <t>🎯 RESULTS</t>
  </si>
  <si>
    <t>DIO (Days Inventory Outstanding)</t>
  </si>
  <si>
    <t>DSO (Days Sales Outstanding)</t>
  </si>
  <si>
    <t>DPO (Days Payable Outstanding)</t>
  </si>
  <si>
    <t>CCC</t>
  </si>
  <si>
    <t>📊 Industry Comparison</t>
  </si>
  <si>
    <t>Company</t>
  </si>
  <si>
    <t>DIO</t>
  </si>
  <si>
    <t>DSO</t>
  </si>
  <si>
    <t>DPO</t>
  </si>
  <si>
    <t>Assessment</t>
  </si>
  <si>
    <t>Our Factory</t>
  </si>
  <si>
    <t>45</t>
  </si>
  <si>
    <t>22</t>
  </si>
  <si>
    <t>20</t>
  </si>
  <si>
    <t>Needs improvement</t>
  </si>
  <si>
    <t>Industry Avg</t>
  </si>
  <si>
    <t>38</t>
  </si>
  <si>
    <t>25</t>
  </si>
  <si>
    <t>30</t>
  </si>
  <si>
    <t>Benchmark</t>
  </si>
  <si>
    <t>Best-in-class</t>
  </si>
  <si>
    <t>18</t>
  </si>
  <si>
    <t>Negative CCC!</t>
  </si>
  <si>
    <t>📉 Budget vs Actual Variance | 🟡Yellow=formula দাও | 2024</t>
  </si>
  <si>
    <t>Budget Rev</t>
  </si>
  <si>
    <t>Actual Rev</t>
  </si>
  <si>
    <t>Variance</t>
  </si>
  <si>
    <t>Var %</t>
  </si>
  <si>
    <t>Flag</t>
  </si>
  <si>
    <t>Budget Cost</t>
  </si>
  <si>
    <t>Actual Cost</t>
  </si>
  <si>
    <t>Cost Var</t>
  </si>
  <si>
    <t>Cost Flag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</si>
  <si>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</si>
  <si>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</si>
  <si>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</si>
  <si>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</si>
  <si>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</si>
  <si>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</si>
  <si>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</si>
  <si>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</si>
  <si>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</si>
  <si>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</si>
  <si>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</si>
  <si>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</si>
  <si>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🔢 SUMIFS / AVERAGEIFS / COUNTIFS | 🟡Yellow=formula দাও</t>
  </si>
  <si>
    <t>Date</t>
  </si>
  <si>
    <t>#</t>
  </si>
  <si>
    <t>Region</t>
  </si>
  <si>
    <t>Category</t>
  </si>
  <si>
    <t>Product</t>
  </si>
  <si>
    <t>Qty</t>
  </si>
  <si>
    <t>Sales (৳)</t>
  </si>
  <si>
    <t>📊 Tasks</t>
  </si>
  <si>
    <t>Answer</t>
  </si>
  <si>
    <t>13-Apr-24</t>
  </si>
  <si>
    <t>Rajshahi</t>
  </si>
  <si>
    <t>Clothing</t>
  </si>
  <si>
    <t>Notebook</t>
  </si>
  <si>
    <t>1. Dhaka total sales:</t>
  </si>
  <si>
    <t>04-Mar-24</t>
  </si>
  <si>
    <t>CTG</t>
  </si>
  <si>
    <t>Electronics</t>
  </si>
  <si>
    <t>Chair</t>
  </si>
  <si>
    <t>2. CTG Electronics sales:</t>
  </si>
  <si>
    <t>24-Jun-24</t>
  </si>
  <si>
    <t>Khulna</t>
  </si>
  <si>
    <t>3. Sylhet Clothing avg:</t>
  </si>
  <si>
    <t>17-Apr-24</t>
  </si>
  <si>
    <t>Stationery</t>
  </si>
  <si>
    <t>Rice</t>
  </si>
  <si>
    <t>4. Dhaka sales&gt;10000 count:</t>
  </si>
  <si>
    <t>09-Apr-24</t>
  </si>
  <si>
    <t>Desk</t>
  </si>
  <si>
    <t>5. Rajshahi Food sales:</t>
  </si>
  <si>
    <t>25-May-24</t>
  </si>
  <si>
    <t>Sylhet</t>
  </si>
  <si>
    <t>Pants</t>
  </si>
  <si>
    <t>6. Qty&gt;10 avg sales:</t>
  </si>
  <si>
    <t>21-Mar-24</t>
  </si>
  <si>
    <t>7. IFERROR G/F:</t>
  </si>
  <si>
    <t>18-Apr-24</t>
  </si>
  <si>
    <t>Food</t>
  </si>
  <si>
    <t>8. All regions total:</t>
  </si>
  <si>
    <t>12-May-24</t>
  </si>
  <si>
    <t>03-Feb-24</t>
  </si>
  <si>
    <t>08-May-24</t>
  </si>
  <si>
    <t>Phone</t>
  </si>
  <si>
    <t>01-May-24</t>
  </si>
  <si>
    <t>Oil</t>
  </si>
  <si>
    <t>20-Mar-24</t>
  </si>
  <si>
    <t>13-May-24</t>
  </si>
  <si>
    <t>Laptop</t>
  </si>
  <si>
    <t>06-Mar-24</t>
  </si>
  <si>
    <t>Furniture</t>
  </si>
  <si>
    <t>Shirt</t>
  </si>
  <si>
    <t>Dhaka</t>
  </si>
  <si>
    <t>14-Apr-24</t>
  </si>
  <si>
    <t>14-Feb-24</t>
  </si>
  <si>
    <t>22-Mar-24</t>
  </si>
  <si>
    <t>02-Apr-24</t>
  </si>
  <si>
    <t>29-May-24</t>
  </si>
  <si>
    <t>27-Mar-24</t>
  </si>
  <si>
    <t>24-Jan-24</t>
  </si>
  <si>
    <t>Pen</t>
  </si>
  <si>
    <t>23-Apr-24</t>
  </si>
  <si>
    <t>25-Jun-24</t>
  </si>
  <si>
    <t>22-Apr-24</t>
  </si>
  <si>
    <t>13-Mar-24</t>
  </si>
  <si>
    <t>07-Apr-24</t>
  </si>
  <si>
    <t>31-Mar-24</t>
  </si>
  <si>
    <t>16-Apr-24</t>
  </si>
  <si>
    <t>29-Jan-24</t>
  </si>
  <si>
    <t>10-Jun-24</t>
  </si>
  <si>
    <t>19-Mar-24</t>
  </si>
  <si>
    <t>17-Mar-24</t>
  </si>
  <si>
    <t>19-Feb-24</t>
  </si>
  <si>
    <t>27-Apr-24</t>
  </si>
  <si>
    <t>26-Jun-24</t>
  </si>
  <si>
    <t>05-Mar-24</t>
  </si>
  <si>
    <t>28-Jun-24</t>
  </si>
  <si>
    <t>26-Mar-24</t>
  </si>
  <si>
    <t>04-Jan-24</t>
  </si>
  <si>
    <t>04-Feb-24</t>
  </si>
  <si>
    <t>28-Mar-24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</si>
</sst>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rgb="FF1E3A8A"/>
      <name val="Arial"/>
    </font>
    <font>
      <b/>
      <sz val="11"/>
      <color rgb="FFFFFFFF"/>
      <name val="Arial"/>
    </font>
    <font>
      <b/>
      <sz val="11"/>
      <color rgb="FF111827"/>
      <name val="Arial"/>
    </font>
    <font>
      <sz val="11"/>
      <color rgb="FF111827"/>
      <name val="Arial"/>
    </font>
    <font>
      <i/>
      <sz val="10"/>
      <color rgb="FF7C3AED"/>
      <name val="Arial"/>
    </font>
    <font>
      <b/>
      <sz val="11"/>
      <color rgb="FF065F46"/>
      <name val="Arial"/>
    </font>
    <font>
      <i/>
      <sz val="10"/>
      <color rgb="FF4C1D95"/>
      <name val="Arial"/>
    </font>
    <font>
      <b/>
      <sz val="11"/>
      <color rgb="FF92400E"/>
      <name val="Arial"/>
    </font>
    <font>
      <sz val="11"/>
      <color rgb="FFB91C1C"/>
      <name val="Arial"/>
    </font>
    <font>
      <b/>
      <sz val="11"/>
      <color rgb="FF4C1D95"/>
      <name val="Arial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E40AF"/>
      </patternFill>
    </fill>
    <fill>
      <patternFill patternType="solid">
        <fgColor rgb="FF92400E"/>
      </patternFill>
    </fill>
    <fill>
      <patternFill patternType="solid">
        <fgColor rgb="FFFEF9C3"/>
      </patternFill>
    </fill>
    <fill>
      <patternFill patternType="solid">
        <fgColor rgb="FFF5F3FF"/>
      </patternFill>
    </fill>
    <fill>
      <patternFill patternType="solid">
        <fgColor rgb="FFECFDF5"/>
      </patternFill>
    </fill>
    <fill>
      <patternFill patternType="solid">
        <fgColor rgb="FF1E3A8A"/>
      </patternFill>
    </fill>
    <fill>
      <patternFill patternType="solid">
        <fgColor rgb="FF065F46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FAEED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" fontId="4" fillId="2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2" fontId="4" fillId="5" borderId="1" xfId="0" applyNumberFormat="1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10" borderId="0" xfId="0" applyFont="1" applyFill="1" applyAlignment="1">
      <alignment horizontal="left" vertical="center" wrapText="1"/>
    </xf>
    <xf numFmtId="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 wrapText="1"/>
    </xf>
    <xf numFmtId="166" fontId="5" fillId="6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1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47985564304461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Forecasting!$C$3</c:f>
              <c:strCache>
                <c:ptCount val="1"/>
                <c:pt idx="0">
                  <c:v>Actual Sales (৳)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Forecasting!$A$4:$A$9</c:f>
              <c:strCache>
                <c:ptCount val="6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</c:strCache>
            </c:strRef>
          </c:cat>
          <c:val>
            <c:numRef>
              <c:f>Forecasting!$C$4:$C$9</c:f>
              <c:numCache>
                <c:formatCode>#,##0</c:formatCode>
                <c:ptCount val="6"/>
                <c:pt idx="0">
                  <c:v>420000</c:v>
                </c:pt>
                <c:pt idx="1">
                  <c:v>465000</c:v>
                </c:pt>
                <c:pt idx="2">
                  <c:v>510000</c:v>
                </c:pt>
                <c:pt idx="3">
                  <c:v>558000</c:v>
                </c:pt>
                <c:pt idx="4">
                  <c:v>605000</c:v>
                </c:pt>
                <c:pt idx="5">
                  <c:v>652000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E4-4F03-AD52-12C1709BB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90943"/>
        <c:axId val="106491423"/>
      </c:lineChart>
      <c:catAx>
        <c:axId val="10649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91423"/>
        <c:crosses val="autoZero"/>
        <c:auto val="1"/>
        <c:lblAlgn val="ctr"/>
        <c:lblOffset val="100"/>
        <c:noMultiLvlLbl val="0"/>
      </c:catAx>
      <c:valAx>
        <c:axId val="1064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9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2438400</xdr:colOff>
      <xdr:row>24</xdr:row>
      <xdr:rowOff>71437</xdr:rowOff>
    </xdr:from>
    <xdr:to>
      <xdr:col>3</xdr:col>
      <xdr:colOff>323850</xdr:colOff>
      <xdr:row>37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0B5BC-8429-03DB-601A-7A83F5286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D23" sqref="D23"/>
    </sheetView>
  </sheetViews>
  <sheetFormatPr defaultRowHeight="15" x14ac:dyDescent="0.25"/>
  <cols>
    <col min="1" max="1" width="75.28515625" bestFit="1" customWidth="1"/>
    <col min="2" max="2" width="12" customWidth="1"/>
    <col min="3" max="3" width="3" customWidth="1"/>
    <col min="4" max="4" width="24" customWidth="1"/>
    <col min="5" max="5" width="20" customWidth="1"/>
  </cols>
  <sheetData>
    <row r="1" spans="1:2" ht="27.95" customHeight="1" x14ac:dyDescent="0.25">
      <c r="A1" s="1" t="s">
        <v>0</v>
      </c>
    </row>
    <row r="3" spans="1:2" x14ac:dyDescent="0.25">
      <c r="A3" s="2" t="s">
        <v>1</v>
      </c>
    </row>
    <row r="4" spans="1:2" x14ac:dyDescent="0.25">
      <c r="A4" s="3" t="s">
        <v>2</v>
      </c>
      <c r="B4" s="4">
        <v>8.5</v>
      </c>
    </row>
    <row r="5" spans="1:2" x14ac:dyDescent="0.25">
      <c r="A5" s="3" t="s">
        <v>3</v>
      </c>
      <c r="B5" s="4">
        <v>4.7</v>
      </c>
    </row>
    <row r="6" spans="1:2" x14ac:dyDescent="0.25">
      <c r="A6" s="3" t="s">
        <v>4</v>
      </c>
      <c r="B6" s="4">
        <v>2.1</v>
      </c>
    </row>
    <row r="7" spans="1:2" x14ac:dyDescent="0.25">
      <c r="A7" s="3" t="s">
        <v>5</v>
      </c>
      <c r="B7" s="4">
        <v>3.6</v>
      </c>
    </row>
    <row r="8" spans="1:2" x14ac:dyDescent="0.25">
      <c r="A8" s="3" t="s">
        <v>6</v>
      </c>
      <c r="B8" s="4">
        <v>30</v>
      </c>
    </row>
    <row r="9" spans="1:2" x14ac:dyDescent="0.25">
      <c r="A9" s="3" t="s">
        <v>7</v>
      </c>
      <c r="B9" s="4">
        <v>20</v>
      </c>
    </row>
    <row r="10" spans="1:2" x14ac:dyDescent="0.25">
      <c r="A10" s="3" t="s">
        <v>8</v>
      </c>
      <c r="B10" s="4">
        <v>12</v>
      </c>
    </row>
    <row r="12" spans="1:2" x14ac:dyDescent="0.25">
      <c r="A12" s="5" t="s">
        <v>9</v>
      </c>
    </row>
    <row r="13" spans="1:2" x14ac:dyDescent="0.25">
      <c r="A13" s="3" t="s">
        <v>10</v>
      </c>
      <c r="B13" s="6">
        <f>B4/B5</f>
        <v>1.8085106382978722</v>
      </c>
    </row>
    <row r="14" spans="1:2" x14ac:dyDescent="0.25">
      <c r="A14" s="3" t="s">
        <v>11</v>
      </c>
      <c r="B14" s="6">
        <f>(B4-B6)/B5</f>
        <v>1.3617021276595744</v>
      </c>
    </row>
    <row r="15" spans="1:2" x14ac:dyDescent="0.25">
      <c r="A15" s="3" t="s">
        <v>12</v>
      </c>
      <c r="B15" s="6">
        <f>(B7/B8)*100</f>
        <v>12.000000000000002</v>
      </c>
    </row>
    <row r="16" spans="1:2" x14ac:dyDescent="0.25">
      <c r="A16" s="3" t="s">
        <v>13</v>
      </c>
      <c r="B16" s="6">
        <f>B7/B9*100</f>
        <v>18</v>
      </c>
    </row>
    <row r="17" spans="1:2" x14ac:dyDescent="0.25">
      <c r="A17" s="3" t="s">
        <v>14</v>
      </c>
      <c r="B17" s="6">
        <f>B10/B9</f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opLeftCell="A2" workbookViewId="0">
      <selection activeCell="F4" sqref="F4"/>
    </sheetView>
  </sheetViews>
  <sheetFormatPr defaultRowHeight="15" x14ac:dyDescent="0.25"/>
  <cols>
    <col min="1" max="1" width="73" bestFit="1" customWidth="1"/>
    <col min="2" max="2" width="10" customWidth="1"/>
    <col min="3" max="3" width="17.28515625" bestFit="1" customWidth="1"/>
    <col min="4" max="4" width="35" customWidth="1"/>
    <col min="5" max="5" width="16" customWidth="1"/>
  </cols>
  <sheetData>
    <row r="1" spans="1:5" ht="27.95" customHeight="1" x14ac:dyDescent="0.25">
      <c r="A1" s="7" t="s">
        <v>15</v>
      </c>
    </row>
    <row r="3" spans="1:5" x14ac:dyDescent="0.25">
      <c r="A3" s="8" t="s">
        <v>16</v>
      </c>
      <c r="B3" s="8" t="s">
        <v>17</v>
      </c>
      <c r="C3" s="8" t="s">
        <v>18</v>
      </c>
      <c r="D3" s="8" t="s">
        <v>19</v>
      </c>
      <c r="E3" s="8" t="s">
        <v>20</v>
      </c>
    </row>
    <row r="4" spans="1:5" x14ac:dyDescent="0.25">
      <c r="A4" s="9" t="s">
        <v>21</v>
      </c>
      <c r="B4" s="10">
        <v>1</v>
      </c>
      <c r="C4" s="11">
        <v>420000</v>
      </c>
      <c r="D4" s="12">
        <f>_xlfn.FORECAST.LINEAR(B4,$C$4:$C$9,$B$4:$B$9)</f>
        <v>418714.28571428574</v>
      </c>
      <c r="E4" s="12">
        <f>C4-D4</f>
        <v>1285.7142857142608</v>
      </c>
    </row>
    <row r="5" spans="1:5" x14ac:dyDescent="0.25">
      <c r="A5" s="9" t="s">
        <v>22</v>
      </c>
      <c r="B5" s="10">
        <v>2</v>
      </c>
      <c r="C5" s="11">
        <v>465000</v>
      </c>
      <c r="D5" s="12">
        <f t="shared" ref="D5:D9" si="0">_xlfn.FORECAST.LINEAR(B5,$C$4:$C$9,$B$4:$B$9)</f>
        <v>465228.57142857142</v>
      </c>
      <c r="E5" s="12">
        <f t="shared" ref="E5:E9" si="1">C5-D5</f>
        <v>-228.57142857142026</v>
      </c>
    </row>
    <row r="6" spans="1:5" x14ac:dyDescent="0.25">
      <c r="A6" s="9" t="s">
        <v>23</v>
      </c>
      <c r="B6" s="10">
        <v>3</v>
      </c>
      <c r="C6" s="11">
        <v>510000</v>
      </c>
      <c r="D6" s="12">
        <f t="shared" si="0"/>
        <v>511742.85714285716</v>
      </c>
      <c r="E6" s="12">
        <f t="shared" si="1"/>
        <v>-1742.8571428571595</v>
      </c>
    </row>
    <row r="7" spans="1:5" x14ac:dyDescent="0.25">
      <c r="A7" s="9" t="s">
        <v>24</v>
      </c>
      <c r="B7" s="10">
        <v>4</v>
      </c>
      <c r="C7" s="11">
        <v>558000</v>
      </c>
      <c r="D7" s="12">
        <f t="shared" si="0"/>
        <v>558257.14285714284</v>
      </c>
      <c r="E7" s="12">
        <f t="shared" si="1"/>
        <v>-257.14285714284051</v>
      </c>
    </row>
    <row r="8" spans="1:5" x14ac:dyDescent="0.25">
      <c r="A8" s="9" t="s">
        <v>25</v>
      </c>
      <c r="B8" s="10">
        <v>5</v>
      </c>
      <c r="C8" s="11">
        <v>605000</v>
      </c>
      <c r="D8" s="12">
        <f t="shared" si="0"/>
        <v>604771.42857142864</v>
      </c>
      <c r="E8" s="12">
        <f t="shared" si="1"/>
        <v>228.57142857136205</v>
      </c>
    </row>
    <row r="9" spans="1:5" x14ac:dyDescent="0.25">
      <c r="A9" s="9" t="s">
        <v>26</v>
      </c>
      <c r="B9" s="10">
        <v>6</v>
      </c>
      <c r="C9" s="11">
        <v>652000</v>
      </c>
      <c r="D9" s="12">
        <f t="shared" si="0"/>
        <v>651285.71428571432</v>
      </c>
      <c r="E9" s="12">
        <f t="shared" si="1"/>
        <v>714.28571428568102</v>
      </c>
    </row>
    <row r="11" spans="1:5" x14ac:dyDescent="0.25">
      <c r="A11" s="14" t="s">
        <v>27</v>
      </c>
    </row>
    <row r="12" spans="1:5" x14ac:dyDescent="0.25">
      <c r="A12" s="8" t="s">
        <v>16</v>
      </c>
      <c r="B12" s="8" t="s">
        <v>17</v>
      </c>
      <c r="C12" s="8" t="s">
        <v>28</v>
      </c>
    </row>
    <row r="13" spans="1:5" x14ac:dyDescent="0.25">
      <c r="A13" s="9" t="s">
        <v>29</v>
      </c>
      <c r="B13" s="10">
        <v>7</v>
      </c>
      <c r="C13" s="12">
        <f>_xlfn.FORECAST.LINEAR(B13,$C$4:$C$9,$B$4:$B$9)</f>
        <v>697800</v>
      </c>
    </row>
    <row r="14" spans="1:5" x14ac:dyDescent="0.25">
      <c r="A14" s="9" t="s">
        <v>30</v>
      </c>
      <c r="B14" s="10">
        <v>8</v>
      </c>
      <c r="C14" s="12">
        <f t="shared" ref="C14:C18" si="2">_xlfn.FORECAST.LINEAR(B14,$C$4:$C$9,$B$4:$B$9)</f>
        <v>744314.28571428568</v>
      </c>
    </row>
    <row r="15" spans="1:5" x14ac:dyDescent="0.25">
      <c r="A15" s="9" t="s">
        <v>31</v>
      </c>
      <c r="B15" s="10">
        <v>9</v>
      </c>
      <c r="C15" s="12">
        <f t="shared" si="2"/>
        <v>790828.57142857148</v>
      </c>
    </row>
    <row r="16" spans="1:5" x14ac:dyDescent="0.25">
      <c r="A16" s="9" t="s">
        <v>32</v>
      </c>
      <c r="B16" s="10">
        <v>10</v>
      </c>
      <c r="C16" s="12">
        <f t="shared" si="2"/>
        <v>837342.85714285716</v>
      </c>
    </row>
    <row r="17" spans="1:3" x14ac:dyDescent="0.25">
      <c r="A17" s="9" t="s">
        <v>33</v>
      </c>
      <c r="B17" s="10">
        <v>11</v>
      </c>
      <c r="C17" s="12">
        <f t="shared" si="2"/>
        <v>883857.14285714296</v>
      </c>
    </row>
    <row r="18" spans="1:3" x14ac:dyDescent="0.25">
      <c r="A18" s="9" t="s">
        <v>34</v>
      </c>
      <c r="B18" s="10">
        <v>12</v>
      </c>
      <c r="C18" s="12">
        <f t="shared" si="2"/>
        <v>930371.42857142864</v>
      </c>
    </row>
    <row r="20" spans="1:3" x14ac:dyDescent="0.25">
      <c r="A20" s="2" t="s">
        <v>35</v>
      </c>
    </row>
    <row r="21" spans="1:3" x14ac:dyDescent="0.25">
      <c r="A21" s="3" t="s">
        <v>36</v>
      </c>
      <c r="B21" s="13">
        <f>SLOPE(C4:C9,B4:B9)</f>
        <v>46514.285714285717</v>
      </c>
    </row>
    <row r="22" spans="1:3" x14ac:dyDescent="0.25">
      <c r="A22" s="3" t="s">
        <v>37</v>
      </c>
      <c r="B22" s="13">
        <f>INTERCEPT(C4:C9,B4:B9)</f>
        <v>372200</v>
      </c>
    </row>
    <row r="23" spans="1:3" x14ac:dyDescent="0.25">
      <c r="A23" s="3" t="s">
        <v>38</v>
      </c>
      <c r="B23" s="15">
        <f>CORREL(B4:B9,C4:C9)</f>
        <v>0.99992907442875234</v>
      </c>
    </row>
    <row r="25" spans="1:3" ht="27.95" customHeight="1" x14ac:dyDescent="0.25">
      <c r="A25" s="16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E13" sqref="E13"/>
    </sheetView>
  </sheetViews>
  <sheetFormatPr defaultRowHeight="15" x14ac:dyDescent="0.25"/>
  <cols>
    <col min="1" max="1" width="28" customWidth="1"/>
    <col min="2" max="3" width="12" customWidth="1"/>
    <col min="4" max="4" width="30" customWidth="1"/>
    <col min="5" max="5" width="18" customWidth="1"/>
    <col min="6" max="6" width="20" bestFit="1" customWidth="1"/>
  </cols>
  <sheetData>
    <row r="1" spans="1:2" ht="27.95" customHeight="1" x14ac:dyDescent="0.25">
      <c r="A1" s="17" t="s">
        <v>39</v>
      </c>
    </row>
    <row r="3" spans="1:2" x14ac:dyDescent="0.25">
      <c r="A3" s="2" t="s">
        <v>40</v>
      </c>
    </row>
    <row r="4" spans="1:2" x14ac:dyDescent="0.25">
      <c r="A4" s="3" t="s">
        <v>41</v>
      </c>
      <c r="B4" s="18">
        <v>9</v>
      </c>
    </row>
    <row r="5" spans="1:2" x14ac:dyDescent="0.25">
      <c r="A5" s="3" t="s">
        <v>42</v>
      </c>
      <c r="B5" s="18">
        <v>73</v>
      </c>
    </row>
    <row r="6" spans="1:2" x14ac:dyDescent="0.25">
      <c r="A6" s="3" t="s">
        <v>43</v>
      </c>
      <c r="B6" s="18">
        <v>6</v>
      </c>
    </row>
    <row r="7" spans="1:2" x14ac:dyDescent="0.25">
      <c r="A7" s="3" t="s">
        <v>44</v>
      </c>
      <c r="B7" s="18">
        <v>100</v>
      </c>
    </row>
    <row r="8" spans="1:2" x14ac:dyDescent="0.25">
      <c r="A8" s="3" t="s">
        <v>45</v>
      </c>
      <c r="B8" s="18">
        <v>4</v>
      </c>
    </row>
    <row r="10" spans="1:2" x14ac:dyDescent="0.25">
      <c r="A10" s="5" t="s">
        <v>46</v>
      </c>
    </row>
    <row r="11" spans="1:2" x14ac:dyDescent="0.25">
      <c r="A11" s="9" t="s">
        <v>47</v>
      </c>
      <c r="B11" s="19">
        <f>B4/(B5/365)</f>
        <v>45</v>
      </c>
    </row>
    <row r="12" spans="1:2" x14ac:dyDescent="0.25">
      <c r="A12" s="9" t="s">
        <v>48</v>
      </c>
      <c r="B12" s="19">
        <f>B6/(B7/365)</f>
        <v>21.900000000000002</v>
      </c>
    </row>
    <row r="13" spans="1:2" x14ac:dyDescent="0.25">
      <c r="A13" s="9" t="s">
        <v>49</v>
      </c>
      <c r="B13" s="19">
        <f>B8/(B5/365)</f>
        <v>20</v>
      </c>
    </row>
    <row r="14" spans="1:2" x14ac:dyDescent="0.25">
      <c r="A14" s="3" t="s">
        <v>50</v>
      </c>
      <c r="B14" s="19">
        <f>B11+B12-B13</f>
        <v>46.900000000000006</v>
      </c>
    </row>
    <row r="16" spans="1:2" x14ac:dyDescent="0.25">
      <c r="A16" s="2" t="s">
        <v>51</v>
      </c>
    </row>
    <row r="17" spans="1:6" x14ac:dyDescent="0.25">
      <c r="A17" s="8" t="s">
        <v>52</v>
      </c>
      <c r="B17" s="8" t="s">
        <v>53</v>
      </c>
      <c r="C17" s="8" t="s">
        <v>54</v>
      </c>
      <c r="D17" s="8" t="s">
        <v>55</v>
      </c>
      <c r="E17" s="8" t="s">
        <v>50</v>
      </c>
      <c r="F17" s="8" t="s">
        <v>56</v>
      </c>
    </row>
    <row r="18" spans="1:6" x14ac:dyDescent="0.25">
      <c r="A18" s="20" t="s">
        <v>57</v>
      </c>
      <c r="B18" s="21" t="s">
        <v>58</v>
      </c>
      <c r="C18" s="21" t="s">
        <v>59</v>
      </c>
      <c r="D18" s="21" t="s">
        <v>60</v>
      </c>
      <c r="E18" s="22">
        <f>B18+C18-D18</f>
        <v>47</v>
      </c>
      <c r="F18" s="21" t="s">
        <v>61</v>
      </c>
    </row>
    <row r="19" spans="1:6" x14ac:dyDescent="0.25">
      <c r="A19" s="23" t="s">
        <v>62</v>
      </c>
      <c r="B19" s="24" t="s">
        <v>63</v>
      </c>
      <c r="C19" s="24" t="s">
        <v>64</v>
      </c>
      <c r="D19" s="24" t="s">
        <v>65</v>
      </c>
      <c r="E19" s="22">
        <f t="shared" ref="E19:E20" si="0">B19+C19-D19</f>
        <v>33</v>
      </c>
      <c r="F19" s="24" t="s">
        <v>66</v>
      </c>
    </row>
    <row r="20" spans="1:6" x14ac:dyDescent="0.25">
      <c r="A20" s="25" t="s">
        <v>67</v>
      </c>
      <c r="B20" s="26" t="s">
        <v>64</v>
      </c>
      <c r="C20" s="26" t="s">
        <v>68</v>
      </c>
      <c r="D20" s="26" t="s">
        <v>58</v>
      </c>
      <c r="E20" s="22">
        <f t="shared" si="0"/>
        <v>-2</v>
      </c>
      <c r="F20" s="26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>
      <selection activeCell="A18" sqref="A18"/>
    </sheetView>
  </sheetViews>
  <sheetFormatPr defaultRowHeight="15" x14ac:dyDescent="0.25"/>
  <cols>
    <col min="1" max="1" width="8" customWidth="1"/>
    <col min="2" max="2" width="13.28515625" bestFit="1" customWidth="1"/>
    <col min="3" max="3" width="13" customWidth="1"/>
    <col min="4" max="4" width="12" customWidth="1"/>
    <col min="5" max="5" width="10" customWidth="1"/>
    <col min="6" max="6" width="16" customWidth="1"/>
    <col min="7" max="8" width="13" customWidth="1"/>
    <col min="9" max="9" width="12" customWidth="1"/>
    <col min="10" max="10" width="16" customWidth="1"/>
  </cols>
  <sheetData>
    <row r="1" spans="1:10" ht="27.95" customHeight="1" x14ac:dyDescent="0.25">
      <c r="A1" s="27" t="s">
        <v>70</v>
      </c>
    </row>
    <row r="3" spans="1:10" x14ac:dyDescent="0.25">
      <c r="A3" s="8" t="s">
        <v>16</v>
      </c>
      <c r="B3" s="8" t="s">
        <v>71</v>
      </c>
      <c r="C3" s="8" t="s">
        <v>72</v>
      </c>
      <c r="D3" s="8" t="s">
        <v>73</v>
      </c>
      <c r="E3" s="8" t="s">
        <v>74</v>
      </c>
      <c r="F3" s="8" t="s">
        <v>75</v>
      </c>
      <c r="G3" s="8" t="s">
        <v>76</v>
      </c>
      <c r="H3" s="8" t="s">
        <v>77</v>
      </c>
      <c r="I3" s="8" t="s">
        <v>78</v>
      </c>
      <c r="J3" s="8" t="s">
        <v>79</v>
      </c>
    </row>
    <row r="4" spans="1:10" x14ac:dyDescent="0.25">
      <c r="A4" s="10" t="s">
        <v>80</v>
      </c>
      <c r="B4" s="11">
        <v>500</v>
      </c>
      <c r="C4" s="11">
        <v>485</v>
      </c>
      <c r="D4" s="12">
        <f>C4-B4</f>
        <v>-15</v>
      </c>
      <c r="E4" s="28">
        <f>(C4-B4)/B4</f>
        <v>-0.03</v>
      </c>
      <c r="F4" s="29" t="str">
        <f>IF(C4&gt;=B4,"Favorable ✓","Unfavorable ✗")</f>
        <v>Unfavorable ✗</v>
      </c>
      <c r="G4" s="11">
        <v>350</v>
      </c>
      <c r="H4" s="11">
        <v>360</v>
      </c>
      <c r="I4" s="12">
        <f>H4-G4</f>
        <v>10</v>
      </c>
      <c r="J4" s="29" t="str">
        <f>IF(H4&lt;=G4,"Favorable ✓","Unfavorable ✗")</f>
        <v>Unfavorable ✗</v>
      </c>
    </row>
    <row r="5" spans="1:10" x14ac:dyDescent="0.25">
      <c r="A5" s="10" t="s">
        <v>81</v>
      </c>
      <c r="B5" s="11">
        <v>520</v>
      </c>
      <c r="C5" s="11">
        <v>535</v>
      </c>
      <c r="D5" s="12">
        <f t="shared" ref="D5:D15" si="0">C5-B5</f>
        <v>15</v>
      </c>
      <c r="E5" s="28">
        <f t="shared" ref="E5:E15" si="1">(C5-B5)/B5</f>
        <v>2.8846153846153848E-2</v>
      </c>
      <c r="F5" s="29" t="str">
        <f t="shared" ref="F5:F15" si="2">IF(C5&gt;=B5,"Favorable ✓","Unfavorable ✗")</f>
        <v>Favorable ✓</v>
      </c>
      <c r="G5" s="11">
        <v>364</v>
      </c>
      <c r="H5" s="11">
        <v>358</v>
      </c>
      <c r="I5" s="12">
        <f t="shared" ref="I5:I15" si="3">H5-G5</f>
        <v>-6</v>
      </c>
      <c r="J5" s="29" t="str">
        <f t="shared" ref="J5:J15" si="4">IF(H5&lt;=G5,"Favorable ✓","Unfavorable ✗")</f>
        <v>Favorable ✓</v>
      </c>
    </row>
    <row r="6" spans="1:10" x14ac:dyDescent="0.25">
      <c r="A6" s="10" t="s">
        <v>82</v>
      </c>
      <c r="B6" s="11">
        <v>540</v>
      </c>
      <c r="C6" s="11">
        <v>530</v>
      </c>
      <c r="D6" s="12">
        <f t="shared" si="0"/>
        <v>-10</v>
      </c>
      <c r="E6" s="28">
        <f t="shared" si="1"/>
        <v>-1.8518518518518517E-2</v>
      </c>
      <c r="F6" s="29" t="str">
        <f t="shared" si="2"/>
        <v>Unfavorable ✗</v>
      </c>
      <c r="G6" s="11">
        <v>378</v>
      </c>
      <c r="H6" s="11">
        <v>385</v>
      </c>
      <c r="I6" s="12">
        <f t="shared" si="3"/>
        <v>7</v>
      </c>
      <c r="J6" s="29" t="str">
        <f t="shared" si="4"/>
        <v>Unfavorable ✗</v>
      </c>
    </row>
    <row r="7" spans="1:10" x14ac:dyDescent="0.25">
      <c r="A7" s="10" t="s">
        <v>83</v>
      </c>
      <c r="B7" s="11">
        <v>560</v>
      </c>
      <c r="C7" s="11">
        <v>575</v>
      </c>
      <c r="D7" s="12">
        <f t="shared" si="0"/>
        <v>15</v>
      </c>
      <c r="E7" s="28">
        <f t="shared" si="1"/>
        <v>2.6785714285714284E-2</v>
      </c>
      <c r="F7" s="29" t="str">
        <f t="shared" si="2"/>
        <v>Favorable ✓</v>
      </c>
      <c r="G7" s="11">
        <v>392</v>
      </c>
      <c r="H7" s="11">
        <v>388</v>
      </c>
      <c r="I7" s="12">
        <f t="shared" si="3"/>
        <v>-4</v>
      </c>
      <c r="J7" s="29" t="str">
        <f t="shared" si="4"/>
        <v>Favorable ✓</v>
      </c>
    </row>
    <row r="8" spans="1:10" x14ac:dyDescent="0.25">
      <c r="A8" s="10" t="s">
        <v>84</v>
      </c>
      <c r="B8" s="11">
        <v>580</v>
      </c>
      <c r="C8" s="11">
        <v>565</v>
      </c>
      <c r="D8" s="12">
        <f t="shared" si="0"/>
        <v>-15</v>
      </c>
      <c r="E8" s="28">
        <f t="shared" si="1"/>
        <v>-2.5862068965517241E-2</v>
      </c>
      <c r="F8" s="29" t="str">
        <f t="shared" si="2"/>
        <v>Unfavorable ✗</v>
      </c>
      <c r="G8" s="11">
        <v>406</v>
      </c>
      <c r="H8" s="11">
        <v>415</v>
      </c>
      <c r="I8" s="12">
        <f t="shared" si="3"/>
        <v>9</v>
      </c>
      <c r="J8" s="29" t="str">
        <f t="shared" si="4"/>
        <v>Unfavorable ✗</v>
      </c>
    </row>
    <row r="9" spans="1:10" x14ac:dyDescent="0.25">
      <c r="A9" s="10" t="s">
        <v>85</v>
      </c>
      <c r="B9" s="11">
        <v>600</v>
      </c>
      <c r="C9" s="11">
        <v>615</v>
      </c>
      <c r="D9" s="12">
        <f t="shared" si="0"/>
        <v>15</v>
      </c>
      <c r="E9" s="28">
        <f t="shared" si="1"/>
        <v>2.5000000000000001E-2</v>
      </c>
      <c r="F9" s="29" t="str">
        <f t="shared" si="2"/>
        <v>Favorable ✓</v>
      </c>
      <c r="G9" s="11">
        <v>420</v>
      </c>
      <c r="H9" s="11">
        <v>415</v>
      </c>
      <c r="I9" s="12">
        <f t="shared" si="3"/>
        <v>-5</v>
      </c>
      <c r="J9" s="29" t="str">
        <f t="shared" si="4"/>
        <v>Favorable ✓</v>
      </c>
    </row>
    <row r="10" spans="1:10" x14ac:dyDescent="0.25">
      <c r="A10" s="10" t="s">
        <v>86</v>
      </c>
      <c r="B10" s="11">
        <v>620</v>
      </c>
      <c r="C10" s="11">
        <v>595</v>
      </c>
      <c r="D10" s="12">
        <f t="shared" si="0"/>
        <v>-25</v>
      </c>
      <c r="E10" s="28">
        <f t="shared" si="1"/>
        <v>-4.0322580645161289E-2</v>
      </c>
      <c r="F10" s="29" t="str">
        <f t="shared" si="2"/>
        <v>Unfavorable ✗</v>
      </c>
      <c r="G10" s="11">
        <v>434</v>
      </c>
      <c r="H10" s="11">
        <v>445</v>
      </c>
      <c r="I10" s="12">
        <f t="shared" si="3"/>
        <v>11</v>
      </c>
      <c r="J10" s="29" t="str">
        <f t="shared" si="4"/>
        <v>Unfavorable ✗</v>
      </c>
    </row>
    <row r="11" spans="1:10" x14ac:dyDescent="0.25">
      <c r="A11" s="10" t="s">
        <v>87</v>
      </c>
      <c r="B11" s="11">
        <v>640</v>
      </c>
      <c r="C11" s="11">
        <v>655</v>
      </c>
      <c r="D11" s="12">
        <f t="shared" si="0"/>
        <v>15</v>
      </c>
      <c r="E11" s="28">
        <f t="shared" si="1"/>
        <v>2.34375E-2</v>
      </c>
      <c r="F11" s="29" t="str">
        <f t="shared" si="2"/>
        <v>Favorable ✓</v>
      </c>
      <c r="G11" s="11">
        <v>448</v>
      </c>
      <c r="H11" s="11">
        <v>442</v>
      </c>
      <c r="I11" s="12">
        <f t="shared" si="3"/>
        <v>-6</v>
      </c>
      <c r="J11" s="29" t="str">
        <f t="shared" si="4"/>
        <v>Favorable ✓</v>
      </c>
    </row>
    <row r="12" spans="1:10" x14ac:dyDescent="0.25">
      <c r="A12" s="10" t="s">
        <v>88</v>
      </c>
      <c r="B12" s="11">
        <v>660</v>
      </c>
      <c r="C12" s="11">
        <v>640</v>
      </c>
      <c r="D12" s="12">
        <f t="shared" si="0"/>
        <v>-20</v>
      </c>
      <c r="E12" s="28">
        <f t="shared" si="1"/>
        <v>-3.0303030303030304E-2</v>
      </c>
      <c r="F12" s="29" t="str">
        <f t="shared" si="2"/>
        <v>Unfavorable ✗</v>
      </c>
      <c r="G12" s="11">
        <v>462</v>
      </c>
      <c r="H12" s="11">
        <v>470</v>
      </c>
      <c r="I12" s="12">
        <f t="shared" si="3"/>
        <v>8</v>
      </c>
      <c r="J12" s="29" t="str">
        <f t="shared" si="4"/>
        <v>Unfavorable ✗</v>
      </c>
    </row>
    <row r="13" spans="1:10" x14ac:dyDescent="0.25">
      <c r="A13" s="10" t="s">
        <v>89</v>
      </c>
      <c r="B13" s="11">
        <v>680</v>
      </c>
      <c r="C13" s="11">
        <v>695</v>
      </c>
      <c r="D13" s="12">
        <f t="shared" si="0"/>
        <v>15</v>
      </c>
      <c r="E13" s="28">
        <f t="shared" si="1"/>
        <v>2.2058823529411766E-2</v>
      </c>
      <c r="F13" s="29" t="str">
        <f t="shared" si="2"/>
        <v>Favorable ✓</v>
      </c>
      <c r="G13" s="11">
        <v>476</v>
      </c>
      <c r="H13" s="11">
        <v>472</v>
      </c>
      <c r="I13" s="12">
        <f t="shared" si="3"/>
        <v>-4</v>
      </c>
      <c r="J13" s="29" t="str">
        <f t="shared" si="4"/>
        <v>Favorable ✓</v>
      </c>
    </row>
    <row r="14" spans="1:10" x14ac:dyDescent="0.25">
      <c r="A14" s="10" t="s">
        <v>90</v>
      </c>
      <c r="B14" s="11">
        <v>700</v>
      </c>
      <c r="C14" s="11">
        <v>685</v>
      </c>
      <c r="D14" s="12">
        <f t="shared" si="0"/>
        <v>-15</v>
      </c>
      <c r="E14" s="28">
        <f t="shared" si="1"/>
        <v>-2.1428571428571429E-2</v>
      </c>
      <c r="F14" s="29" t="str">
        <f t="shared" si="2"/>
        <v>Unfavorable ✗</v>
      </c>
      <c r="G14" s="11">
        <v>490</v>
      </c>
      <c r="H14" s="11">
        <v>495</v>
      </c>
      <c r="I14" s="12">
        <f t="shared" si="3"/>
        <v>5</v>
      </c>
      <c r="J14" s="29" t="str">
        <f t="shared" si="4"/>
        <v>Unfavorable ✗</v>
      </c>
    </row>
    <row r="15" spans="1:10" x14ac:dyDescent="0.25">
      <c r="A15" s="10" t="s">
        <v>91</v>
      </c>
      <c r="B15" s="11">
        <v>720</v>
      </c>
      <c r="C15" s="11">
        <v>730</v>
      </c>
      <c r="D15" s="12">
        <f t="shared" si="0"/>
        <v>10</v>
      </c>
      <c r="E15" s="28">
        <f t="shared" si="1"/>
        <v>1.3888888888888888E-2</v>
      </c>
      <c r="F15" s="29" t="str">
        <f t="shared" si="2"/>
        <v>Favorable ✓</v>
      </c>
      <c r="G15" s="11">
        <v>504</v>
      </c>
      <c r="H15" s="11">
        <v>500</v>
      </c>
      <c r="I15" s="12">
        <f t="shared" si="3"/>
        <v>-4</v>
      </c>
      <c r="J15" s="29" t="str">
        <f t="shared" si="4"/>
        <v>Favorable ✓</v>
      </c>
    </row>
    <row r="17" spans="1:1" x14ac:dyDescent="0.25">
      <c r="A17" s="3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3"/>
  <sheetViews>
    <sheetView tabSelected="1" workbookViewId="0">
      <selection activeCell="K3" sqref="K3:K11"/>
    </sheetView>
  </sheetViews>
  <sheetFormatPr defaultRowHeight="15" x14ac:dyDescent="0.25"/>
  <cols>
    <col min="1" max="1" width="12" customWidth="1"/>
    <col min="2" max="2" width="5" customWidth="1"/>
    <col min="3" max="3" width="10" customWidth="1"/>
    <col min="4" max="4" width="13" customWidth="1"/>
    <col min="5" max="5" width="12" customWidth="1"/>
    <col min="6" max="6" width="6" customWidth="1"/>
    <col min="7" max="7" width="12" customWidth="1"/>
    <col min="8" max="8" width="2" customWidth="1"/>
    <col min="9" max="9" width="28" customWidth="1"/>
    <col min="10" max="10" width="14" customWidth="1"/>
    <col min="11" max="11" width="45" customWidth="1"/>
  </cols>
  <sheetData>
    <row r="1" spans="1:10" ht="27.95" customHeight="1" x14ac:dyDescent="0.25">
      <c r="A1" s="31" t="s">
        <v>92</v>
      </c>
    </row>
    <row r="3" spans="1:10" x14ac:dyDescent="0.25">
      <c r="A3" s="8" t="s">
        <v>93</v>
      </c>
      <c r="B3" s="8" t="s">
        <v>94</v>
      </c>
      <c r="C3" s="8" t="s">
        <v>95</v>
      </c>
      <c r="D3" s="8" t="s">
        <v>96</v>
      </c>
      <c r="E3" s="8" t="s">
        <v>97</v>
      </c>
      <c r="F3" s="8" t="s">
        <v>98</v>
      </c>
      <c r="G3" s="8" t="s">
        <v>99</v>
      </c>
      <c r="I3" s="2" t="s">
        <v>100</v>
      </c>
      <c r="J3" s="8" t="s">
        <v>101</v>
      </c>
    </row>
    <row r="4" spans="1:10" x14ac:dyDescent="0.25">
      <c r="A4" s="9" t="s">
        <v>102</v>
      </c>
      <c r="B4" s="10">
        <v>1</v>
      </c>
      <c r="C4" s="9" t="s">
        <v>103</v>
      </c>
      <c r="D4" s="9" t="s">
        <v>104</v>
      </c>
      <c r="E4" s="9" t="s">
        <v>105</v>
      </c>
      <c r="F4" s="10">
        <v>6</v>
      </c>
      <c r="G4" s="11">
        <v>3000</v>
      </c>
      <c r="I4" s="3" t="s">
        <v>106</v>
      </c>
      <c r="J4" s="13">
        <f>SUMIFS(G:G,C:C,"Dhaka")</f>
        <v>90700</v>
      </c>
    </row>
    <row r="5" spans="1:10" x14ac:dyDescent="0.25">
      <c r="A5" s="9" t="s">
        <v>107</v>
      </c>
      <c r="B5" s="10">
        <v>2</v>
      </c>
      <c r="C5" s="9" t="s">
        <v>108</v>
      </c>
      <c r="D5" s="9" t="s">
        <v>109</v>
      </c>
      <c r="E5" s="9" t="s">
        <v>110</v>
      </c>
      <c r="F5" s="10">
        <v>13</v>
      </c>
      <c r="G5" s="11">
        <v>32500</v>
      </c>
      <c r="I5" s="3" t="s">
        <v>111</v>
      </c>
      <c r="J5" s="13">
        <f>SUMIFS(G:G,C:C,"CTG",D:D,"Electronics")</f>
        <v>148600</v>
      </c>
    </row>
    <row r="6" spans="1:10" x14ac:dyDescent="0.25">
      <c r="A6" s="9" t="s">
        <v>112</v>
      </c>
      <c r="B6" s="10">
        <v>3</v>
      </c>
      <c r="C6" s="9" t="s">
        <v>113</v>
      </c>
      <c r="D6" s="9" t="s">
        <v>109</v>
      </c>
      <c r="E6" s="9" t="s">
        <v>105</v>
      </c>
      <c r="F6" s="10">
        <v>16</v>
      </c>
      <c r="G6" s="11">
        <v>8000</v>
      </c>
      <c r="I6" s="3" t="s">
        <v>114</v>
      </c>
      <c r="J6" s="13">
        <f>AVERAGEIFS(G:G,C:C,"Sylhet",D:D,"Clothing")</f>
        <v>45100</v>
      </c>
    </row>
    <row r="7" spans="1:10" x14ac:dyDescent="0.25">
      <c r="A7" s="9" t="s">
        <v>115</v>
      </c>
      <c r="B7" s="10">
        <v>4</v>
      </c>
      <c r="C7" s="9" t="s">
        <v>113</v>
      </c>
      <c r="D7" s="9" t="s">
        <v>116</v>
      </c>
      <c r="E7" s="9" t="s">
        <v>117</v>
      </c>
      <c r="F7" s="10">
        <v>12</v>
      </c>
      <c r="G7" s="11">
        <v>96000</v>
      </c>
      <c r="I7" s="3" t="s">
        <v>118</v>
      </c>
      <c r="J7" s="13">
        <f>COUNTIFS(C:C,"Dhaka",G:G,"&gt;10000")</f>
        <v>3</v>
      </c>
    </row>
    <row r="8" spans="1:10" x14ac:dyDescent="0.25">
      <c r="A8" s="9" t="s">
        <v>119</v>
      </c>
      <c r="B8" s="10">
        <v>5</v>
      </c>
      <c r="C8" s="9" t="s">
        <v>108</v>
      </c>
      <c r="D8" s="9" t="s">
        <v>104</v>
      </c>
      <c r="E8" s="9" t="s">
        <v>120</v>
      </c>
      <c r="F8" s="10">
        <v>6</v>
      </c>
      <c r="G8" s="11">
        <v>48000</v>
      </c>
      <c r="I8" s="3" t="s">
        <v>121</v>
      </c>
      <c r="J8" s="13">
        <f>SUMIFS(G:G,C:C,"Rajshahi",D:D,"Food")</f>
        <v>10000</v>
      </c>
    </row>
    <row r="9" spans="1:10" x14ac:dyDescent="0.25">
      <c r="A9" s="9" t="s">
        <v>122</v>
      </c>
      <c r="B9" s="10">
        <v>6</v>
      </c>
      <c r="C9" s="9" t="s">
        <v>123</v>
      </c>
      <c r="D9" s="9" t="s">
        <v>109</v>
      </c>
      <c r="E9" s="9" t="s">
        <v>124</v>
      </c>
      <c r="F9" s="10">
        <v>3</v>
      </c>
      <c r="G9" s="11">
        <v>3600</v>
      </c>
      <c r="I9" s="3" t="s">
        <v>125</v>
      </c>
      <c r="J9" s="13">
        <f>AVERAGEIFS(G:G,F:F,"&gt;10")</f>
        <v>45242.857142857145</v>
      </c>
    </row>
    <row r="10" spans="1:10" x14ac:dyDescent="0.25">
      <c r="A10" s="9" t="s">
        <v>126</v>
      </c>
      <c r="B10" s="10">
        <v>7</v>
      </c>
      <c r="C10" s="9" t="s">
        <v>103</v>
      </c>
      <c r="D10" s="9" t="s">
        <v>109</v>
      </c>
      <c r="E10" s="9" t="s">
        <v>110</v>
      </c>
      <c r="F10" s="10">
        <v>18</v>
      </c>
      <c r="G10" s="11">
        <v>3600</v>
      </c>
      <c r="I10" s="3" t="s">
        <v>127</v>
      </c>
      <c r="J10" s="13">
        <f>IFERROR(G4/F4,0)</f>
        <v>500</v>
      </c>
    </row>
    <row r="11" spans="1:10" x14ac:dyDescent="0.25">
      <c r="A11" s="9" t="s">
        <v>128</v>
      </c>
      <c r="B11" s="10">
        <v>8</v>
      </c>
      <c r="C11" s="9" t="s">
        <v>108</v>
      </c>
      <c r="D11" s="9" t="s">
        <v>129</v>
      </c>
      <c r="E11" s="9" t="s">
        <v>124</v>
      </c>
      <c r="F11" s="10">
        <v>3</v>
      </c>
      <c r="G11" s="11">
        <v>3600</v>
      </c>
      <c r="I11" s="3" t="s">
        <v>130</v>
      </c>
      <c r="J11" s="13">
        <f>SUMIFS(G:G,C:C,"Dhaka")+SUMIFS(G:G,C:C,"CTG")+SUMIFS(G:G,C:C,"Sylhet")</f>
        <v>690400</v>
      </c>
    </row>
    <row r="12" spans="1:10" x14ac:dyDescent="0.25">
      <c r="A12" s="9" t="s">
        <v>131</v>
      </c>
      <c r="B12" s="10">
        <v>9</v>
      </c>
      <c r="C12" s="9" t="s">
        <v>108</v>
      </c>
      <c r="D12" s="9" t="s">
        <v>116</v>
      </c>
      <c r="E12" s="9" t="s">
        <v>120</v>
      </c>
      <c r="F12" s="10">
        <v>2</v>
      </c>
      <c r="G12" s="11">
        <v>1600</v>
      </c>
    </row>
    <row r="13" spans="1:10" x14ac:dyDescent="0.25">
      <c r="A13" s="9" t="s">
        <v>132</v>
      </c>
      <c r="B13" s="10">
        <v>10</v>
      </c>
      <c r="C13" s="9" t="s">
        <v>108</v>
      </c>
      <c r="D13" s="9" t="s">
        <v>104</v>
      </c>
      <c r="E13" s="9" t="s">
        <v>120</v>
      </c>
      <c r="F13" s="10">
        <v>20</v>
      </c>
      <c r="G13" s="11">
        <v>10000</v>
      </c>
    </row>
    <row r="14" spans="1:10" x14ac:dyDescent="0.25">
      <c r="A14" s="9" t="s">
        <v>133</v>
      </c>
      <c r="B14" s="10">
        <v>11</v>
      </c>
      <c r="C14" s="9" t="s">
        <v>108</v>
      </c>
      <c r="D14" s="9" t="s">
        <v>109</v>
      </c>
      <c r="E14" s="9" t="s">
        <v>134</v>
      </c>
      <c r="F14" s="10">
        <v>1</v>
      </c>
      <c r="G14" s="11">
        <v>500</v>
      </c>
    </row>
    <row r="15" spans="1:10" x14ac:dyDescent="0.25">
      <c r="A15" s="9" t="s">
        <v>135</v>
      </c>
      <c r="B15" s="10">
        <v>12</v>
      </c>
      <c r="C15" s="9" t="s">
        <v>103</v>
      </c>
      <c r="D15" s="9" t="s">
        <v>109</v>
      </c>
      <c r="E15" s="9" t="s">
        <v>136</v>
      </c>
      <c r="F15" s="10">
        <v>3</v>
      </c>
      <c r="G15" s="11">
        <v>1500</v>
      </c>
    </row>
    <row r="16" spans="1:10" x14ac:dyDescent="0.25">
      <c r="A16" s="9" t="s">
        <v>137</v>
      </c>
      <c r="B16" s="10">
        <v>13</v>
      </c>
      <c r="C16" s="9" t="s">
        <v>113</v>
      </c>
      <c r="D16" s="9" t="s">
        <v>109</v>
      </c>
      <c r="E16" s="9" t="s">
        <v>136</v>
      </c>
      <c r="F16" s="10">
        <v>11</v>
      </c>
      <c r="G16" s="11">
        <v>5500</v>
      </c>
    </row>
    <row r="17" spans="1:7" x14ac:dyDescent="0.25">
      <c r="A17" s="9" t="s">
        <v>138</v>
      </c>
      <c r="B17" s="10">
        <v>14</v>
      </c>
      <c r="C17" s="9" t="s">
        <v>103</v>
      </c>
      <c r="D17" s="9" t="s">
        <v>104</v>
      </c>
      <c r="E17" s="9" t="s">
        <v>139</v>
      </c>
      <c r="F17" s="10">
        <v>7</v>
      </c>
      <c r="G17" s="11">
        <v>8400</v>
      </c>
    </row>
    <row r="18" spans="1:7" x14ac:dyDescent="0.25">
      <c r="A18" s="9" t="s">
        <v>140</v>
      </c>
      <c r="B18" s="10">
        <v>15</v>
      </c>
      <c r="C18" s="9" t="s">
        <v>113</v>
      </c>
      <c r="D18" s="9" t="s">
        <v>141</v>
      </c>
      <c r="E18" s="9" t="s">
        <v>142</v>
      </c>
      <c r="F18" s="10">
        <v>12</v>
      </c>
      <c r="G18" s="11">
        <v>60000</v>
      </c>
    </row>
    <row r="19" spans="1:7" x14ac:dyDescent="0.25">
      <c r="A19" s="9" t="s">
        <v>135</v>
      </c>
      <c r="B19" s="10">
        <v>16</v>
      </c>
      <c r="C19" s="9" t="s">
        <v>143</v>
      </c>
      <c r="D19" s="9" t="s">
        <v>104</v>
      </c>
      <c r="E19" s="9" t="s">
        <v>105</v>
      </c>
      <c r="F19" s="10">
        <v>5</v>
      </c>
      <c r="G19" s="11">
        <v>12500</v>
      </c>
    </row>
    <row r="20" spans="1:7" x14ac:dyDescent="0.25">
      <c r="A20" s="9" t="s">
        <v>144</v>
      </c>
      <c r="B20" s="10">
        <v>17</v>
      </c>
      <c r="C20" s="9" t="s">
        <v>143</v>
      </c>
      <c r="D20" s="9" t="s">
        <v>109</v>
      </c>
      <c r="E20" s="9" t="s">
        <v>134</v>
      </c>
      <c r="F20" s="10">
        <v>5</v>
      </c>
      <c r="G20" s="11">
        <v>4000</v>
      </c>
    </row>
    <row r="21" spans="1:7" x14ac:dyDescent="0.25">
      <c r="A21" s="9" t="s">
        <v>145</v>
      </c>
      <c r="B21" s="10">
        <v>18</v>
      </c>
      <c r="C21" s="9" t="s">
        <v>108</v>
      </c>
      <c r="D21" s="9" t="s">
        <v>141</v>
      </c>
      <c r="E21" s="9" t="s">
        <v>142</v>
      </c>
      <c r="F21" s="10">
        <v>7</v>
      </c>
      <c r="G21" s="11">
        <v>17500</v>
      </c>
    </row>
    <row r="22" spans="1:7" x14ac:dyDescent="0.25">
      <c r="A22" s="9" t="s">
        <v>146</v>
      </c>
      <c r="B22" s="10">
        <v>19</v>
      </c>
      <c r="C22" s="9" t="s">
        <v>103</v>
      </c>
      <c r="D22" s="9" t="s">
        <v>104</v>
      </c>
      <c r="E22" s="9" t="s">
        <v>110</v>
      </c>
      <c r="F22" s="10">
        <v>4</v>
      </c>
      <c r="G22" s="11">
        <v>32000</v>
      </c>
    </row>
    <row r="23" spans="1:7" x14ac:dyDescent="0.25">
      <c r="A23" s="9" t="s">
        <v>147</v>
      </c>
      <c r="B23" s="10">
        <v>20</v>
      </c>
      <c r="C23" s="9" t="s">
        <v>108</v>
      </c>
      <c r="D23" s="9" t="s">
        <v>109</v>
      </c>
      <c r="E23" s="9" t="s">
        <v>124</v>
      </c>
      <c r="F23" s="10">
        <v>10</v>
      </c>
      <c r="G23" s="11">
        <v>2000</v>
      </c>
    </row>
    <row r="24" spans="1:7" x14ac:dyDescent="0.25">
      <c r="A24" s="9" t="s">
        <v>148</v>
      </c>
      <c r="B24" s="10">
        <v>21</v>
      </c>
      <c r="C24" s="9" t="s">
        <v>143</v>
      </c>
      <c r="D24" s="9" t="s">
        <v>129</v>
      </c>
      <c r="E24" s="9" t="s">
        <v>117</v>
      </c>
      <c r="F24" s="10">
        <v>13</v>
      </c>
      <c r="G24" s="11">
        <v>15600</v>
      </c>
    </row>
    <row r="25" spans="1:7" x14ac:dyDescent="0.25">
      <c r="A25" s="9" t="s">
        <v>149</v>
      </c>
      <c r="B25" s="10">
        <v>22</v>
      </c>
      <c r="C25" s="9" t="s">
        <v>103</v>
      </c>
      <c r="D25" s="9" t="s">
        <v>141</v>
      </c>
      <c r="E25" s="9" t="s">
        <v>136</v>
      </c>
      <c r="F25" s="10">
        <v>12</v>
      </c>
      <c r="G25" s="11">
        <v>30000</v>
      </c>
    </row>
    <row r="26" spans="1:7" x14ac:dyDescent="0.25">
      <c r="A26" s="9" t="s">
        <v>150</v>
      </c>
      <c r="B26" s="10">
        <v>23</v>
      </c>
      <c r="C26" s="9" t="s">
        <v>108</v>
      </c>
      <c r="D26" s="9" t="s">
        <v>109</v>
      </c>
      <c r="E26" s="9" t="s">
        <v>151</v>
      </c>
      <c r="F26" s="10">
        <v>13</v>
      </c>
      <c r="G26" s="11">
        <v>104000</v>
      </c>
    </row>
    <row r="27" spans="1:7" x14ac:dyDescent="0.25">
      <c r="A27" s="9" t="s">
        <v>152</v>
      </c>
      <c r="B27" s="10">
        <v>24</v>
      </c>
      <c r="C27" s="9" t="s">
        <v>108</v>
      </c>
      <c r="D27" s="9" t="s">
        <v>129</v>
      </c>
      <c r="E27" s="9" t="s">
        <v>117</v>
      </c>
      <c r="F27" s="10">
        <v>10</v>
      </c>
      <c r="G27" s="11">
        <v>2000</v>
      </c>
    </row>
    <row r="28" spans="1:7" x14ac:dyDescent="0.25">
      <c r="A28" s="9" t="s">
        <v>153</v>
      </c>
      <c r="B28" s="10">
        <v>25</v>
      </c>
      <c r="C28" s="9" t="s">
        <v>123</v>
      </c>
      <c r="D28" s="9" t="s">
        <v>104</v>
      </c>
      <c r="E28" s="9" t="s">
        <v>117</v>
      </c>
      <c r="F28" s="10">
        <v>13</v>
      </c>
      <c r="G28" s="11">
        <v>10400</v>
      </c>
    </row>
    <row r="29" spans="1:7" x14ac:dyDescent="0.25">
      <c r="A29" s="9" t="s">
        <v>154</v>
      </c>
      <c r="B29" s="10">
        <v>26</v>
      </c>
      <c r="C29" s="9" t="s">
        <v>143</v>
      </c>
      <c r="D29" s="9" t="s">
        <v>141</v>
      </c>
      <c r="E29" s="9" t="s">
        <v>136</v>
      </c>
      <c r="F29" s="10">
        <v>9</v>
      </c>
      <c r="G29" s="11">
        <v>1800</v>
      </c>
    </row>
    <row r="30" spans="1:7" x14ac:dyDescent="0.25">
      <c r="A30" s="9" t="s">
        <v>133</v>
      </c>
      <c r="B30" s="10">
        <v>27</v>
      </c>
      <c r="C30" s="9" t="s">
        <v>123</v>
      </c>
      <c r="D30" s="9" t="s">
        <v>129</v>
      </c>
      <c r="E30" s="9" t="s">
        <v>120</v>
      </c>
      <c r="F30" s="10">
        <v>18</v>
      </c>
      <c r="G30" s="11">
        <v>9000</v>
      </c>
    </row>
    <row r="31" spans="1:7" x14ac:dyDescent="0.25">
      <c r="A31" s="9" t="s">
        <v>140</v>
      </c>
      <c r="B31" s="10">
        <v>28</v>
      </c>
      <c r="C31" s="9" t="s">
        <v>103</v>
      </c>
      <c r="D31" s="9" t="s">
        <v>129</v>
      </c>
      <c r="E31" s="9" t="s">
        <v>136</v>
      </c>
      <c r="F31" s="10">
        <v>20</v>
      </c>
      <c r="G31" s="11">
        <v>10000</v>
      </c>
    </row>
    <row r="32" spans="1:7" x14ac:dyDescent="0.25">
      <c r="A32" s="9" t="s">
        <v>155</v>
      </c>
      <c r="B32" s="10">
        <v>29</v>
      </c>
      <c r="C32" s="9" t="s">
        <v>103</v>
      </c>
      <c r="D32" s="9" t="s">
        <v>116</v>
      </c>
      <c r="E32" s="9" t="s">
        <v>105</v>
      </c>
      <c r="F32" s="10">
        <v>15</v>
      </c>
      <c r="G32" s="11">
        <v>7500</v>
      </c>
    </row>
    <row r="33" spans="1:7" x14ac:dyDescent="0.25">
      <c r="A33" s="9" t="s">
        <v>156</v>
      </c>
      <c r="B33" s="10">
        <v>30</v>
      </c>
      <c r="C33" s="9" t="s">
        <v>123</v>
      </c>
      <c r="D33" s="9" t="s">
        <v>104</v>
      </c>
      <c r="E33" s="9" t="s">
        <v>151</v>
      </c>
      <c r="F33" s="10">
        <v>1</v>
      </c>
      <c r="G33" s="11">
        <v>5000</v>
      </c>
    </row>
    <row r="34" spans="1:7" x14ac:dyDescent="0.25">
      <c r="A34" s="9" t="s">
        <v>157</v>
      </c>
      <c r="B34" s="10">
        <v>31</v>
      </c>
      <c r="C34" s="9" t="s">
        <v>123</v>
      </c>
      <c r="D34" s="9" t="s">
        <v>104</v>
      </c>
      <c r="E34" s="9" t="s">
        <v>142</v>
      </c>
      <c r="F34" s="10">
        <v>9</v>
      </c>
      <c r="G34" s="11">
        <v>45000</v>
      </c>
    </row>
    <row r="35" spans="1:7" x14ac:dyDescent="0.25">
      <c r="A35" s="9" t="s">
        <v>158</v>
      </c>
      <c r="B35" s="10">
        <v>32</v>
      </c>
      <c r="C35" s="9" t="s">
        <v>108</v>
      </c>
      <c r="D35" s="9" t="s">
        <v>141</v>
      </c>
      <c r="E35" s="9" t="s">
        <v>151</v>
      </c>
      <c r="F35" s="10">
        <v>13</v>
      </c>
      <c r="G35" s="11">
        <v>2600</v>
      </c>
    </row>
    <row r="36" spans="1:7" x14ac:dyDescent="0.25">
      <c r="A36" s="9" t="s">
        <v>159</v>
      </c>
      <c r="B36" s="10">
        <v>33</v>
      </c>
      <c r="C36" s="9" t="s">
        <v>113</v>
      </c>
      <c r="D36" s="9" t="s">
        <v>116</v>
      </c>
      <c r="E36" s="9" t="s">
        <v>117</v>
      </c>
      <c r="F36" s="10">
        <v>1</v>
      </c>
      <c r="G36" s="11">
        <v>2500</v>
      </c>
    </row>
    <row r="37" spans="1:7" x14ac:dyDescent="0.25">
      <c r="A37" s="9" t="s">
        <v>137</v>
      </c>
      <c r="B37" s="10">
        <v>34</v>
      </c>
      <c r="C37" s="9" t="s">
        <v>108</v>
      </c>
      <c r="D37" s="9" t="s">
        <v>116</v>
      </c>
      <c r="E37" s="9" t="s">
        <v>120</v>
      </c>
      <c r="F37" s="10">
        <v>7</v>
      </c>
      <c r="G37" s="11">
        <v>5600</v>
      </c>
    </row>
    <row r="38" spans="1:7" x14ac:dyDescent="0.25">
      <c r="A38" s="9" t="s">
        <v>158</v>
      </c>
      <c r="B38" s="10">
        <v>35</v>
      </c>
      <c r="C38" s="9" t="s">
        <v>103</v>
      </c>
      <c r="D38" s="9" t="s">
        <v>116</v>
      </c>
      <c r="E38" s="9" t="s">
        <v>124</v>
      </c>
      <c r="F38" s="10">
        <v>20</v>
      </c>
      <c r="G38" s="11">
        <v>160000</v>
      </c>
    </row>
    <row r="39" spans="1:7" x14ac:dyDescent="0.25">
      <c r="A39" s="9" t="s">
        <v>160</v>
      </c>
      <c r="B39" s="10">
        <v>36</v>
      </c>
      <c r="C39" s="9" t="s">
        <v>113</v>
      </c>
      <c r="D39" s="9" t="s">
        <v>129</v>
      </c>
      <c r="E39" s="9" t="s">
        <v>117</v>
      </c>
      <c r="F39" s="10">
        <v>1</v>
      </c>
      <c r="G39" s="11">
        <v>200</v>
      </c>
    </row>
    <row r="40" spans="1:7" x14ac:dyDescent="0.25">
      <c r="A40" s="9" t="s">
        <v>161</v>
      </c>
      <c r="B40" s="10">
        <v>37</v>
      </c>
      <c r="C40" s="9" t="s">
        <v>143</v>
      </c>
      <c r="D40" s="9" t="s">
        <v>116</v>
      </c>
      <c r="E40" s="9" t="s">
        <v>139</v>
      </c>
      <c r="F40" s="10">
        <v>2</v>
      </c>
      <c r="G40" s="11">
        <v>2400</v>
      </c>
    </row>
    <row r="41" spans="1:7" x14ac:dyDescent="0.25">
      <c r="A41" s="9" t="s">
        <v>162</v>
      </c>
      <c r="B41" s="10">
        <v>38</v>
      </c>
      <c r="C41" s="9" t="s">
        <v>123</v>
      </c>
      <c r="D41" s="9" t="s">
        <v>116</v>
      </c>
      <c r="E41" s="9" t="s">
        <v>105</v>
      </c>
      <c r="F41" s="10">
        <v>19</v>
      </c>
      <c r="G41" s="11">
        <v>15200</v>
      </c>
    </row>
    <row r="42" spans="1:7" x14ac:dyDescent="0.25">
      <c r="A42" s="9" t="s">
        <v>163</v>
      </c>
      <c r="B42" s="10">
        <v>39</v>
      </c>
      <c r="C42" s="9" t="s">
        <v>143</v>
      </c>
      <c r="D42" s="9" t="s">
        <v>141</v>
      </c>
      <c r="E42" s="9" t="s">
        <v>136</v>
      </c>
      <c r="F42" s="10">
        <v>6</v>
      </c>
      <c r="G42" s="11">
        <v>4800</v>
      </c>
    </row>
    <row r="43" spans="1:7" x14ac:dyDescent="0.25">
      <c r="A43" s="9" t="s">
        <v>164</v>
      </c>
      <c r="B43" s="10">
        <v>40</v>
      </c>
      <c r="C43" s="9" t="s">
        <v>123</v>
      </c>
      <c r="D43" s="9" t="s">
        <v>104</v>
      </c>
      <c r="E43" s="9" t="s">
        <v>142</v>
      </c>
      <c r="F43" s="10">
        <v>15</v>
      </c>
      <c r="G43" s="11">
        <v>120000</v>
      </c>
    </row>
    <row r="44" spans="1:7" x14ac:dyDescent="0.25">
      <c r="A44" s="9" t="s">
        <v>165</v>
      </c>
      <c r="B44" s="10">
        <v>41</v>
      </c>
      <c r="C44" s="9" t="s">
        <v>103</v>
      </c>
      <c r="D44" s="9" t="s">
        <v>141</v>
      </c>
      <c r="E44" s="9" t="s">
        <v>124</v>
      </c>
      <c r="F44" s="10">
        <v>6</v>
      </c>
      <c r="G44" s="11">
        <v>4800</v>
      </c>
    </row>
    <row r="45" spans="1:7" x14ac:dyDescent="0.25">
      <c r="A45" s="9" t="s">
        <v>166</v>
      </c>
      <c r="B45" s="10">
        <v>42</v>
      </c>
      <c r="C45" s="9" t="s">
        <v>108</v>
      </c>
      <c r="D45" s="9" t="s">
        <v>129</v>
      </c>
      <c r="E45" s="9" t="s">
        <v>120</v>
      </c>
      <c r="F45" s="10">
        <v>19</v>
      </c>
      <c r="G45" s="11">
        <v>152000</v>
      </c>
    </row>
    <row r="46" spans="1:7" x14ac:dyDescent="0.25">
      <c r="A46" s="9" t="s">
        <v>167</v>
      </c>
      <c r="B46" s="10">
        <v>43</v>
      </c>
      <c r="C46" s="9" t="s">
        <v>103</v>
      </c>
      <c r="D46" s="9" t="s">
        <v>104</v>
      </c>
      <c r="E46" s="9" t="s">
        <v>120</v>
      </c>
      <c r="F46" s="10">
        <v>19</v>
      </c>
      <c r="G46" s="11">
        <v>95000</v>
      </c>
    </row>
    <row r="47" spans="1:7" x14ac:dyDescent="0.25">
      <c r="A47" s="9" t="s">
        <v>135</v>
      </c>
      <c r="B47" s="10">
        <v>44</v>
      </c>
      <c r="C47" s="9" t="s">
        <v>108</v>
      </c>
      <c r="D47" s="9" t="s">
        <v>109</v>
      </c>
      <c r="E47" s="9" t="s">
        <v>124</v>
      </c>
      <c r="F47" s="10">
        <v>8</v>
      </c>
      <c r="G47" s="11">
        <v>9600</v>
      </c>
    </row>
    <row r="48" spans="1:7" x14ac:dyDescent="0.25">
      <c r="A48" s="9" t="s">
        <v>138</v>
      </c>
      <c r="B48" s="10">
        <v>45</v>
      </c>
      <c r="C48" s="9" t="s">
        <v>143</v>
      </c>
      <c r="D48" s="9" t="s">
        <v>109</v>
      </c>
      <c r="E48" s="9" t="s">
        <v>151</v>
      </c>
      <c r="F48" s="10">
        <v>16</v>
      </c>
      <c r="G48" s="11">
        <v>3200</v>
      </c>
    </row>
    <row r="49" spans="1:7" x14ac:dyDescent="0.25">
      <c r="A49" s="9" t="s">
        <v>168</v>
      </c>
      <c r="B49" s="10">
        <v>46</v>
      </c>
      <c r="C49" s="9" t="s">
        <v>143</v>
      </c>
      <c r="D49" s="9" t="s">
        <v>116</v>
      </c>
      <c r="E49" s="9" t="s">
        <v>124</v>
      </c>
      <c r="F49" s="10">
        <v>9</v>
      </c>
      <c r="G49" s="11">
        <v>45000</v>
      </c>
    </row>
    <row r="50" spans="1:7" x14ac:dyDescent="0.25">
      <c r="A50" s="9" t="s">
        <v>169</v>
      </c>
      <c r="B50" s="10">
        <v>47</v>
      </c>
      <c r="C50" s="9" t="s">
        <v>113</v>
      </c>
      <c r="D50" s="9" t="s">
        <v>129</v>
      </c>
      <c r="E50" s="9" t="s">
        <v>136</v>
      </c>
      <c r="F50" s="10">
        <v>9</v>
      </c>
      <c r="G50" s="11">
        <v>4500</v>
      </c>
    </row>
    <row r="51" spans="1:7" x14ac:dyDescent="0.25">
      <c r="A51" s="9" t="s">
        <v>170</v>
      </c>
      <c r="B51" s="10">
        <v>48</v>
      </c>
      <c r="C51" s="9" t="s">
        <v>113</v>
      </c>
      <c r="D51" s="9" t="s">
        <v>109</v>
      </c>
      <c r="E51" s="9" t="s">
        <v>136</v>
      </c>
      <c r="F51" s="10">
        <v>2</v>
      </c>
      <c r="G51" s="11">
        <v>400</v>
      </c>
    </row>
    <row r="52" spans="1:7" x14ac:dyDescent="0.25">
      <c r="A52" s="9" t="s">
        <v>171</v>
      </c>
      <c r="B52" s="10">
        <v>49</v>
      </c>
      <c r="C52" s="9" t="s">
        <v>113</v>
      </c>
      <c r="D52" s="9" t="s">
        <v>104</v>
      </c>
      <c r="E52" s="9" t="s">
        <v>124</v>
      </c>
      <c r="F52" s="10">
        <v>10</v>
      </c>
      <c r="G52" s="11">
        <v>5000</v>
      </c>
    </row>
    <row r="53" spans="1:7" x14ac:dyDescent="0.25">
      <c r="A53" s="9" t="s">
        <v>154</v>
      </c>
      <c r="B53" s="10">
        <v>50</v>
      </c>
      <c r="C53" s="9" t="s">
        <v>143</v>
      </c>
      <c r="D53" s="9" t="s">
        <v>141</v>
      </c>
      <c r="E53" s="9" t="s">
        <v>117</v>
      </c>
      <c r="F53" s="10">
        <v>7</v>
      </c>
      <c r="G53" s="11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Ratios</vt:lpstr>
      <vt:lpstr>Forecasting</vt:lpstr>
      <vt:lpstr>Working Capital</vt:lpstr>
      <vt:lpstr>Variance Analysis</vt:lpstr>
      <vt:lpstr>SUMIFS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Munjurul Alam Piash</cp:lastModifiedBy>
  <dcterms:created xsi:type="dcterms:W3CDTF">2026-05-27T10:16:11Z</dcterms:created>
  <dcterms:modified xsi:type="dcterms:W3CDTF">2026-05-30T23:35:32Z</dcterms:modified>
</cp:coreProperties>
</file>