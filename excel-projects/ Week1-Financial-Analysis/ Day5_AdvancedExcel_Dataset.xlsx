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Week 1\Day 5\"/>
    </mc:Choice>
  </mc:AlternateContent>
  <xr:revisionPtr revIDLastSave="0" documentId="13_ncr:1_{1D7287E2-3737-4016-997F-25AE767511CB}" xr6:coauthVersionLast="47" xr6:coauthVersionMax="47" xr10:uidLastSave="{00000000-0000-0000-0000-000000000000}"/>
  <bookViews>
    <workbookView xWindow="-120" yWindow="-120" windowWidth="29040" windowHeight="16440" firstSheet="2" activeTab="4" xr2:uid="{00000000-000D-0000-FFFF-FFFF00000000}"/>
  </bookViews>
  <sheets>
    <sheet name="Dynamic Arrays" sheetId="1" r:id="rId1"/>
    <sheet name="XLOOKUP Advanced" sheetId="2" r:id="rId2"/>
    <sheet name="LAMBDA + LET" sheetId="3" r:id="rId3"/>
    <sheet name="Day5_Procurement_Data (2)" sheetId="6" r:id="rId4"/>
    <sheet name="Power Query Guide" sheetId="4" r:id="rId5"/>
  </sheets>
  <definedNames>
    <definedName name="_xlnm._FilterDatabase" localSheetId="0" hidden="1">'Dynamic Arrays'!$A$3:$G$53</definedName>
    <definedName name="ExternalData_1" localSheetId="3" hidden="1">'Day5_Procurement_Data (2)'!$A$1:$K$91</definedName>
    <definedName name="MONTHLY_EMI">LAMBDA(P, annual_rate, n,     _xlfn.LET(_xlpm.r, annual_rate/12/100, P * (_xlpm.r * (1+_xlpm.r)^n) / ((1+_xlpm.r)^n - 1))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 a="1"/>
  <c r="B14" i="3" s="1"/>
  <c r="D15" i="3"/>
  <c r="B9" i="3"/>
  <c r="C23" i="2" a="1"/>
  <c r="C23" i="2" s="1"/>
  <c r="C22" i="2"/>
  <c r="C21" i="2"/>
  <c r="C20" i="2" a="1"/>
  <c r="C20" i="2" s="1"/>
  <c r="C19" i="2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4" i="1" a="1"/>
  <c r="J4" i="1" s="1"/>
  <c r="J5" i="1" a="1"/>
  <c r="J5" i="1" s="1"/>
  <c r="B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8942F-D7B8-449E-8098-4E739372A5B9}" keepAlive="1" name="Query - Day5_Procurement_Data (2)" description="Connection to the 'Day5_Procurement_Data (2)' query in the workbook." type="5" refreshedVersion="8" background="1" saveData="1">
    <dbPr connection="Provider=Microsoft.Mashup.OleDb.1;Data Source=$Workbook$;Location=&quot;Day5_Procurement_Data (2)&quot;;Extended Properties=&quot;&quot;" command="SELECT * FROM [Day5_Procurement_Data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<sst xmlns="http://schemas.openxmlformats.org/spreadsheetml/2006/main" count="965" uniqueCount="283">
  <si>
    <t>⚡ Dynamic Arrays Practice | 🟡Yellow=formula দাও | 🟢Green=already আছে</t>
  </si>
  <si>
    <t>#</t>
  </si>
  <si>
    <t>Date</t>
  </si>
  <si>
    <t>Region</t>
  </si>
  <si>
    <t>Category</t>
  </si>
  <si>
    <t>Product</t>
  </si>
  <si>
    <t>Qty</t>
  </si>
  <si>
    <t>Sales (৳)</t>
  </si>
  <si>
    <t>📊 Dynamic Array Tasks</t>
  </si>
  <si>
    <t>12-Jun-24</t>
  </si>
  <si>
    <t>Dhaka</t>
  </si>
  <si>
    <t>Electronics</t>
  </si>
  <si>
    <t>Chair</t>
  </si>
  <si>
    <t>1. FILTER: Dhaka rows</t>
  </si>
  <si>
    <t>05-Feb-24</t>
  </si>
  <si>
    <t>Stationery</t>
  </si>
  <si>
    <t>Phone</t>
  </si>
  <si>
    <t>2. FILTER: Dhaka AND Sales&gt;10000</t>
  </si>
  <si>
    <t>09-Jan-24</t>
  </si>
  <si>
    <t>Rice</t>
  </si>
  <si>
    <t>3. SORT: Sales Z→A</t>
  </si>
  <si>
    <t>03-Jun-24</t>
  </si>
  <si>
    <t>4. UNIQUE: Distinct regions</t>
  </si>
  <si>
    <t>26-Feb-24</t>
  </si>
  <si>
    <t>Rajshahi</t>
  </si>
  <si>
    <t>5. SORTBY: Region A→Z, Sales Z→A</t>
  </si>
  <si>
    <t>27-Jun-24</t>
  </si>
  <si>
    <t>Food</t>
  </si>
  <si>
    <t>6. SEQUENCE: 1 থেকে 10</t>
  </si>
  <si>
    <t>27-Mar-24</t>
  </si>
  <si>
    <t>Oil</t>
  </si>
  <si>
    <t>7. UNIQUE categories count</t>
  </si>
  <si>
    <t>29-Mar-24</t>
  </si>
  <si>
    <t>Khulna</t>
  </si>
  <si>
    <t>Laptop</t>
  </si>
  <si>
    <t>8. Electronics OR Food filter</t>
  </si>
  <si>
    <t>01-Feb-24</t>
  </si>
  <si>
    <t>Pants</t>
  </si>
  <si>
    <t>27-May-24</t>
  </si>
  <si>
    <t>CTG</t>
  </si>
  <si>
    <t>21-Jan-24</t>
  </si>
  <si>
    <t>11-Jun-24</t>
  </si>
  <si>
    <t>Sylhet</t>
  </si>
  <si>
    <t>Clothing</t>
  </si>
  <si>
    <t>Pen</t>
  </si>
  <si>
    <t>20-Jun-24</t>
  </si>
  <si>
    <t>Notebook</t>
  </si>
  <si>
    <t>03-Mar-24</t>
  </si>
  <si>
    <t>Furniture</t>
  </si>
  <si>
    <t>12-Apr-24</t>
  </si>
  <si>
    <t>24-Feb-24</t>
  </si>
  <si>
    <t>Desk</t>
  </si>
  <si>
    <t>29-May-24</t>
  </si>
  <si>
    <t>06-May-24</t>
  </si>
  <si>
    <t>23-Jun-24</t>
  </si>
  <si>
    <t>01-Jun-24</t>
  </si>
  <si>
    <t>16-Mar-24</t>
  </si>
  <si>
    <t>08-May-24</t>
  </si>
  <si>
    <t>04-Jun-24</t>
  </si>
  <si>
    <t>15-May-24</t>
  </si>
  <si>
    <t>29-Jan-24</t>
  </si>
  <si>
    <t>25-May-24</t>
  </si>
  <si>
    <t>02-Feb-24</t>
  </si>
  <si>
    <t>20-Mar-24</t>
  </si>
  <si>
    <t>31-Jan-24</t>
  </si>
  <si>
    <t>30-May-24</t>
  </si>
  <si>
    <t>19-Jan-24</t>
  </si>
  <si>
    <t>18-May-24</t>
  </si>
  <si>
    <t>01-May-24</t>
  </si>
  <si>
    <t>31-Mar-24</t>
  </si>
  <si>
    <t>16-Jan-24</t>
  </si>
  <si>
    <t>18-Feb-24</t>
  </si>
  <si>
    <t>Shirt</t>
  </si>
  <si>
    <t>12-Mar-24</t>
  </si>
  <si>
    <t>26-Jan-24</t>
  </si>
  <si>
    <t>12-Feb-24</t>
  </si>
  <si>
    <t>26-Apr-24</t>
  </si>
  <si>
    <t>17-Feb-24</t>
  </si>
  <si>
    <t>🔍 XLOOKUP Advanced | 🟡Yellow=formula দাও | Multiple Return · Approximate · 2D</t>
  </si>
  <si>
    <t>📌 Product Table (Lookup Source)</t>
  </si>
  <si>
    <t>📌 Grade Table (Approximate)</t>
  </si>
  <si>
    <t>📌 2D Sales Table</t>
  </si>
  <si>
    <t>Code</t>
  </si>
  <si>
    <t>Price (৳)</t>
  </si>
  <si>
    <t>Stock</t>
  </si>
  <si>
    <t>Min Score</t>
  </si>
  <si>
    <t>Grade</t>
  </si>
  <si>
    <t>Q1</t>
  </si>
  <si>
    <t>Q2</t>
  </si>
  <si>
    <t>Q3</t>
  </si>
  <si>
    <t>Q4</t>
  </si>
  <si>
    <t>P001</t>
  </si>
  <si>
    <t>F</t>
  </si>
  <si>
    <t>P002</t>
  </si>
  <si>
    <t>D</t>
  </si>
  <si>
    <t>P003</t>
  </si>
  <si>
    <t>C</t>
  </si>
  <si>
    <t>P004</t>
  </si>
  <si>
    <t>B</t>
  </si>
  <si>
    <t>P005</t>
  </si>
  <si>
    <t>Rice (50kg)</t>
  </si>
  <si>
    <t>A</t>
  </si>
  <si>
    <t>P006</t>
  </si>
  <si>
    <t>Oil (5L)</t>
  </si>
  <si>
    <t>P007</t>
  </si>
  <si>
    <t>P008</t>
  </si>
  <si>
    <t>P009</t>
  </si>
  <si>
    <t>Pen (12pc)</t>
  </si>
  <si>
    <t>P010</t>
  </si>
  <si>
    <t>🎯 XLOOKUP Tasks</t>
  </si>
  <si>
    <t>Task</t>
  </si>
  <si>
    <t>Lookup Value</t>
  </si>
  <si>
    <t>1. Basic XLOOKUP</t>
  </si>
  <si>
    <t>2. Multiple return (Name+Cat+Price)</t>
  </si>
  <si>
    <t>3. Approximate match grade</t>
  </si>
  <si>
    <t>85</t>
  </si>
  <si>
    <t>4. Reverse search (last match)</t>
  </si>
  <si>
    <t>5. 2D: Dhaka Q2 sales</t>
  </si>
  <si>
    <t>λ LAMBDA + LET | 🟡Yellow=formula দাও | Custom Functions</t>
  </si>
  <si>
    <t>📌 INPUTS</t>
  </si>
  <si>
    <t>Loan Amount (৳)</t>
  </si>
  <si>
    <t>Annual Rate</t>
  </si>
  <si>
    <t>Tenure (Years)</t>
  </si>
  <si>
    <t>🎯 LET Tasks</t>
  </si>
  <si>
    <t>Task 1: LET — readable EMI formula</t>
  </si>
  <si>
    <t>Task 2: LET — NPV with named vars</t>
  </si>
  <si>
    <t>🎯 LAMBDA Tasks</t>
  </si>
  <si>
    <t>Task 3: LAMBDA — MONTHLY_EMI function</t>
  </si>
  <si>
    <t>Ctrl+F3 → New Name: MONTHLY_EMI</t>
  </si>
  <si>
    <t>Formula:</t>
  </si>
  <si>
    <t>Test it:</t>
  </si>
  <si>
    <t>Task 4: LAMBDA — BREAK_EVEN function</t>
  </si>
  <si>
    <t>Name: BREAK_EVEN</t>
  </si>
  <si>
    <t>Test:</t>
  </si>
  <si>
    <t>🔧 Power Query — Step by Step Guide | CSV file আলাদাভাবে দেওয়া আছে</t>
  </si>
  <si>
    <t>Step 1: CSV Load</t>
  </si>
  <si>
    <t>Data Tab → Get Data → From File → From Text/CSV → file select → Load (Transform Data বাটনে click করো)</t>
  </si>
  <si>
    <t>Step 2: Type Change</t>
  </si>
  <si>
    <t>Date columns: right-click column header → Change Type → Date। Text columns verify করো।</t>
  </si>
  <si>
    <t>Step 3: Remove Duplicates</t>
  </si>
  <si>
    <t>Home → Remove Rows → Remove Duplicates। PO_Number column-এ duplicate থাকলে বাদ দাও।</t>
  </si>
  <si>
    <t>Step 4: Filter Rows</t>
  </si>
  <si>
    <t>Status column dropdown → Uncheck 'Cancelled' → OK। শুধু Active rows রাখো।</t>
  </si>
  <si>
    <t>Step 5: Fill Down</t>
  </si>
  <si>
    <t>Blank cells আছে এমন column select → right-click → Fill → Down</t>
  </si>
  <si>
    <t>Step 6: Custom Column</t>
  </si>
  <si>
    <t>Add Column → Custom Column:
Name: Approval_Days
Formula: = [Approval_Date] - [Request_Date]</t>
  </si>
  <si>
    <t>Step 7: Another Custom Column</t>
  </si>
  <si>
    <t>Add Column → Custom Column:
Name: Delay_Flag
Formula: = if [Approval_Days] &gt; 7 then "Late" else "On Time"</t>
  </si>
  <si>
    <t>Step 8: Load to Excel</t>
  </si>
  <si>
    <t>Home → Close &amp; Load → Load to Sheet। একটা নতুন sheet-এ data আসবে।</t>
  </si>
  <si>
    <t>Step 9: Refresh Test</t>
  </si>
  <si>
    <t>CSV file-এ ১ row add করো → Data Tab → Refresh All → automatically update হবে।</t>
  </si>
  <si>
    <t>💡 Applied Steps panel (left side) — প্রতিটা step সেখানে save হয়। Delete করলে সেই transformation চলে যাবে।</t>
  </si>
  <si>
    <t>Formula</t>
  </si>
  <si>
    <t xml:space="preserve">Formula </t>
  </si>
  <si>
    <t>PO_Number</t>
  </si>
  <si>
    <t>Request_Date</t>
  </si>
  <si>
    <t>Approval_Date</t>
  </si>
  <si>
    <t>Department</t>
  </si>
  <si>
    <t>Supplier</t>
  </si>
  <si>
    <t>Amount</t>
  </si>
  <si>
    <t>Status</t>
  </si>
  <si>
    <t>Notes</t>
  </si>
  <si>
    <t>PO0001</t>
  </si>
  <si>
    <t>Finance</t>
  </si>
  <si>
    <t>Office Supplies</t>
  </si>
  <si>
    <t>Rahman Traders</t>
  </si>
  <si>
    <t>Pending</t>
  </si>
  <si>
    <t/>
  </si>
  <si>
    <t>PO0003</t>
  </si>
  <si>
    <t>Admin</t>
  </si>
  <si>
    <t>Raw Material</t>
  </si>
  <si>
    <t>TechCorp BD</t>
  </si>
  <si>
    <t>Active</t>
  </si>
  <si>
    <t>PO0004</t>
  </si>
  <si>
    <t>IT</t>
  </si>
  <si>
    <t>IT Equipment</t>
  </si>
  <si>
    <t>Office Plus</t>
  </si>
  <si>
    <t>PO0005</t>
  </si>
  <si>
    <t>Operations</t>
  </si>
  <si>
    <t>Maintenance</t>
  </si>
  <si>
    <t>On hold</t>
  </si>
  <si>
    <t>PO0006</t>
  </si>
  <si>
    <t>HR</t>
  </si>
  <si>
    <t>Karim Services</t>
  </si>
  <si>
    <t>Regular</t>
  </si>
  <si>
    <t>PO0007</t>
  </si>
  <si>
    <t>Digital Hub</t>
  </si>
  <si>
    <t>PO0008</t>
  </si>
  <si>
    <t>Approved</t>
  </si>
  <si>
    <t>PO0009</t>
  </si>
  <si>
    <t>PO0010</t>
  </si>
  <si>
    <t>Services</t>
  </si>
  <si>
    <t>Paper World</t>
  </si>
  <si>
    <t>PO0011</t>
  </si>
  <si>
    <t>Printers Ltd</t>
  </si>
  <si>
    <t>PO0012</t>
  </si>
  <si>
    <t>PO0014</t>
  </si>
  <si>
    <t>Islam &amp; Sons</t>
  </si>
  <si>
    <t>PO0015</t>
  </si>
  <si>
    <t>PO0016</t>
  </si>
  <si>
    <t>Mia Supplies</t>
  </si>
  <si>
    <t>PO0017</t>
  </si>
  <si>
    <t>Urgent</t>
  </si>
  <si>
    <t>PO0018</t>
  </si>
  <si>
    <t>PO0019</t>
  </si>
  <si>
    <t>PO0022</t>
  </si>
  <si>
    <t>PO0023</t>
  </si>
  <si>
    <t>PO0024</t>
  </si>
  <si>
    <t>PO0025</t>
  </si>
  <si>
    <t>PO0027</t>
  </si>
  <si>
    <t>PO0028</t>
  </si>
  <si>
    <t>PO0029</t>
  </si>
  <si>
    <t>CTG Traders</t>
  </si>
  <si>
    <t>PO0030</t>
  </si>
  <si>
    <t>PO0031</t>
  </si>
  <si>
    <t>PO0034</t>
  </si>
  <si>
    <t>PO0035</t>
  </si>
  <si>
    <t>PO0037</t>
  </si>
  <si>
    <t>PO0039</t>
  </si>
  <si>
    <t>PO0042</t>
  </si>
  <si>
    <t>PO0044</t>
  </si>
  <si>
    <t>PO0048</t>
  </si>
  <si>
    <t>PO0050</t>
  </si>
  <si>
    <t>PO0051</t>
  </si>
  <si>
    <t>PO0053</t>
  </si>
  <si>
    <t>PO0054</t>
  </si>
  <si>
    <t>PO0056</t>
  </si>
  <si>
    <t>PO0057</t>
  </si>
  <si>
    <t>PO0058</t>
  </si>
  <si>
    <t>PO0059</t>
  </si>
  <si>
    <t>PO0062</t>
  </si>
  <si>
    <t>PO0063</t>
  </si>
  <si>
    <t>PO0066</t>
  </si>
  <si>
    <t>PO0067</t>
  </si>
  <si>
    <t>PO0069</t>
  </si>
  <si>
    <t>PO0070</t>
  </si>
  <si>
    <t>PO0072</t>
  </si>
  <si>
    <t>PO0074</t>
  </si>
  <si>
    <t>PO0075</t>
  </si>
  <si>
    <t>PO0078</t>
  </si>
  <si>
    <t>PO0079</t>
  </si>
  <si>
    <t>PO0081</t>
  </si>
  <si>
    <t>PO0082</t>
  </si>
  <si>
    <t>PO0084</t>
  </si>
  <si>
    <t>PO0085</t>
  </si>
  <si>
    <t>PO0086</t>
  </si>
  <si>
    <t>PO0087</t>
  </si>
  <si>
    <t>PO0091</t>
  </si>
  <si>
    <t>PO0093</t>
  </si>
  <si>
    <t>PO0094</t>
  </si>
  <si>
    <t>PO0095</t>
  </si>
  <si>
    <t>PO0099</t>
  </si>
  <si>
    <t>Approval_Days</t>
  </si>
  <si>
    <t>PO0021</t>
  </si>
  <si>
    <t>PO0026</t>
  </si>
  <si>
    <t>PO0032</t>
  </si>
  <si>
    <t>PO0040</t>
  </si>
  <si>
    <t>PO0041</t>
  </si>
  <si>
    <t>PO0043</t>
  </si>
  <si>
    <t>PO0049</t>
  </si>
  <si>
    <t>PO0052</t>
  </si>
  <si>
    <t>PO0055</t>
  </si>
  <si>
    <t>PO0064</t>
  </si>
  <si>
    <t>PO0065</t>
  </si>
  <si>
    <t>PO0071</t>
  </si>
  <si>
    <t>PO0073</t>
  </si>
  <si>
    <t>PO0076</t>
  </si>
  <si>
    <t>PO0077</t>
  </si>
  <si>
    <t>PO0083</t>
  </si>
  <si>
    <t>PO0088</t>
  </si>
  <si>
    <t>PO0089</t>
  </si>
  <si>
    <t>PO0090</t>
  </si>
  <si>
    <t>PO0092</t>
  </si>
  <si>
    <t>PO0097</t>
  </si>
  <si>
    <t>PO0100</t>
  </si>
  <si>
    <t>PO0101</t>
  </si>
  <si>
    <t>PO0102</t>
  </si>
  <si>
    <t>PO0103</t>
  </si>
  <si>
    <t>PO0104</t>
  </si>
  <si>
    <t>PO0105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</si>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</sst>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1E3A8A"/>
      <name val="Arial"/>
    </font>
    <font>
      <b/>
      <sz val="11"/>
      <color rgb="FFFFFFFF"/>
      <name val="Arial"/>
    </font>
    <font>
      <sz val="11"/>
      <color rgb="FF111827"/>
      <name val="Arial"/>
    </font>
    <font>
      <b/>
      <sz val="11"/>
      <color rgb="FF111827"/>
      <name val="Arial"/>
    </font>
    <font>
      <i/>
      <sz val="10"/>
      <color rgb="FF7C3AED"/>
      <name val="Arial"/>
    </font>
    <font>
      <b/>
      <sz val="11"/>
      <color rgb="FF065F46"/>
      <name val="Arial"/>
    </font>
    <font>
      <b/>
      <sz val="11"/>
      <color rgb="FF4C1D95"/>
      <name val="Arial"/>
    </font>
    <font>
      <i/>
      <sz val="10"/>
      <color rgb="FF374151"/>
      <name val="Arial"/>
    </font>
    <font>
      <b/>
      <sz val="11"/>
      <color rgb="FF92400E"/>
      <name val="Arial"/>
    </font>
    <font>
      <sz val="10"/>
      <color rgb="FF111827"/>
      <name val="Arial"/>
    </font>
    <font>
      <i/>
      <sz val="10"/>
      <color rgb="FF065F46"/>
      <name val="Arial"/>
    </font>
    <font>
      <sz val="7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92400E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9" fillId="12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NumberFormat="1"/>
    <xf numFmtId="14" fontId="0" fillId="0" borderId="0" xfId="0" applyNumberForma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6A916D-4A0A-4046-A9E0-A91872CC74BF}" autoFormatId="16" applyNumberFormats="0" applyBorderFormats="0" applyFontFormats="0" applyPatternFormats="0" applyAlignmentFormats="0" applyWidthHeightFormats="0">
  <queryTableRefresh nextId="12">
    <queryTableFields count="11">
      <queryTableField id="1" name="PO_Number" tableColumnId="1"/>
      <queryTableField id="2" name="Request_Date" tableColumnId="2"/>
      <queryTableField id="3" name="Approval_Date" tableColumnId="3"/>
      <queryTableField id="4" name="Department" tableColumnId="4"/>
      <queryTableField id="5" name="Category" tableColumnId="5"/>
      <queryTableField id="6" name="Supplier" tableColumnId="6"/>
      <queryTableField id="7" name="Amount" tableColumnId="7"/>
      <queryTableField id="8" name="Status" tableColumnId="8"/>
      <queryTableField id="9" name="Region" tableColumnId="9"/>
      <queryTableField id="10" name="Notes" tableColumnId="10"/>
      <queryTableField id="11" name="Approval_Days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6</v>
    <v>8</v>
    <v>11</v>
    <v>1</v>
  </rv>
  <rv s="0">
    <v>5</v>
    <v>8</v>
    <v>11</v>
    <v>1</v>
  </rv>
  <rv s="0">
    <v>6</v>
    <v>8</v>
    <v>49</v>
    <v>1</v>
  </rv>
  <rv s="0">
    <v>0</v>
    <v>8</v>
    <v>4</v>
    <v>1</v>
  </rv>
  <rv s="0">
    <v>0</v>
    <v>8</v>
    <v>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824DB-8D33-4D1E-8416-4B87EE909329}" name="Day5_Procurement_Data__2" displayName="Day5_Procurement_Data__2" ref="A1:K91" tableType="queryTable" totalsRowShown="0">
  <autoFilter ref="A1:K91" xr:uid="{2E6824DB-8D33-4D1E-8416-4B87EE909329}"/>
  <tableColumns count="11">
    <tableColumn id="1" xr3:uid="{334BE98E-6438-4DBD-A159-CF137185A491}" uniqueName="1" name="PO_Number" queryTableFieldId="1" dataDxfId="8"/>
    <tableColumn id="2" xr3:uid="{444428BD-D244-4F58-80CA-91887A978524}" uniqueName="2" name="Request_Date" queryTableFieldId="2" dataDxfId="7"/>
    <tableColumn id="3" xr3:uid="{BC741B3F-8A10-4210-AA9C-0E1074F5B454}" uniqueName="3" name="Approval_Date" queryTableFieldId="3" dataDxfId="6"/>
    <tableColumn id="4" xr3:uid="{2A029D32-CC96-4D83-92AB-21E782B5C31F}" uniqueName="4" name="Department" queryTableFieldId="4" dataDxfId="5"/>
    <tableColumn id="5" xr3:uid="{AC9D71E9-50BE-4551-A633-F91CC7B316B2}" uniqueName="5" name="Category" queryTableFieldId="5" dataDxfId="4"/>
    <tableColumn id="6" xr3:uid="{F6381B74-CDE0-41A4-AFE1-B54FDB1E7D50}" uniqueName="6" name="Supplier" queryTableFieldId="6" dataDxfId="3"/>
    <tableColumn id="7" xr3:uid="{333FCF7E-7196-4C34-93D7-E6D64FB53CFC}" uniqueName="7" name="Amount" queryTableFieldId="7"/>
    <tableColumn id="8" xr3:uid="{9247C742-3975-436C-AEBC-9126B7A214EF}" uniqueName="8" name="Status" queryTableFieldId="8" dataDxfId="2"/>
    <tableColumn id="9" xr3:uid="{729CFCAC-862F-42BC-A484-6270DD967DCB}" uniqueName="9" name="Region" queryTableFieldId="9" dataDxfId="1"/>
    <tableColumn id="10" xr3:uid="{E41B7252-6AB1-4B0A-BB49-EA46FDB163E3}" uniqueName="10" name="Notes" queryTableFieldId="10" dataDxfId="0"/>
    <tableColumn id="11" xr3:uid="{1AA1768F-AC08-48A4-87F1-6ECA74F6A0BD}" uniqueName="11" name="Approval_Day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opLeftCell="B1" workbookViewId="0">
      <selection activeCell="E3" sqref="E3"/>
    </sheetView>
  </sheetViews>
  <sheetFormatPr defaultRowHeight="15" x14ac:dyDescent="0.25"/>
  <cols>
    <col min="1" max="1" width="5" customWidth="1"/>
    <col min="2" max="2" width="12" customWidth="1"/>
    <col min="3" max="3" width="10" customWidth="1"/>
    <col min="4" max="4" width="13" customWidth="1"/>
    <col min="5" max="5" width="12" customWidth="1"/>
    <col min="6" max="6" width="6" customWidth="1"/>
    <col min="7" max="7" width="12" customWidth="1"/>
    <col min="8" max="8" width="2" customWidth="1"/>
    <col min="9" max="9" width="38.5703125" bestFit="1" customWidth="1"/>
    <col min="10" max="10" width="22.5703125" bestFit="1" customWidth="1"/>
    <col min="11" max="11" width="45" customWidth="1"/>
  </cols>
  <sheetData>
    <row r="1" spans="1:16" ht="27.95" customHeight="1" x14ac:dyDescent="0.25">
      <c r="A1" s="1" t="s">
        <v>0</v>
      </c>
    </row>
    <row r="3" spans="1:1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I3" s="3" t="s">
        <v>8</v>
      </c>
      <c r="J3" s="2" t="s">
        <v>154</v>
      </c>
    </row>
    <row r="4" spans="1:16" x14ac:dyDescent="0.25">
      <c r="A4" s="4">
        <v>1</v>
      </c>
      <c r="B4" s="5" t="s">
        <v>9</v>
      </c>
      <c r="C4" s="5" t="s">
        <v>10</v>
      </c>
      <c r="D4" s="5" t="s">
        <v>11</v>
      </c>
      <c r="E4" s="5" t="s">
        <v>12</v>
      </c>
      <c r="F4" s="4">
        <v>8</v>
      </c>
      <c r="G4" s="6">
        <v>9600</v>
      </c>
      <c r="I4" s="7" t="s">
        <v>13</v>
      </c>
      <c r="J4" s="8" t="e" cm="1" vm="1">
        <f t="array" aca="1" ref="J4" ca="1">_xlfn._xlws.FILTER(A4:G53,C4:C53="Dhaka","No data")</f>
        <v>#VALUE!</v>
      </c>
    </row>
    <row r="5" spans="1:16" x14ac:dyDescent="0.25">
      <c r="A5" s="4">
        <v>2</v>
      </c>
      <c r="B5" s="5" t="s">
        <v>14</v>
      </c>
      <c r="C5" s="5" t="s">
        <v>10</v>
      </c>
      <c r="D5" s="5" t="s">
        <v>15</v>
      </c>
      <c r="E5" s="5" t="s">
        <v>16</v>
      </c>
      <c r="F5" s="4">
        <v>19</v>
      </c>
      <c r="G5" s="6">
        <v>152000</v>
      </c>
      <c r="I5" s="7" t="s">
        <v>17</v>
      </c>
      <c r="J5" s="8" t="e" cm="1" vm="2">
        <f t="array" aca="1" ref="J5" ca="1">_xlfn._xlws.FILTER(B4:G53,(C4:C53="Dhaka")*(G4:G53&gt;1000))</f>
        <v>#VALUE!</v>
      </c>
    </row>
    <row r="6" spans="1:16" x14ac:dyDescent="0.25">
      <c r="A6" s="4">
        <v>3</v>
      </c>
      <c r="B6" s="5" t="s">
        <v>18</v>
      </c>
      <c r="C6" s="5" t="s">
        <v>10</v>
      </c>
      <c r="D6" s="5" t="s">
        <v>11</v>
      </c>
      <c r="E6" s="5" t="s">
        <v>19</v>
      </c>
      <c r="F6" s="4">
        <v>8</v>
      </c>
      <c r="G6" s="6">
        <v>144000</v>
      </c>
      <c r="I6" s="7" t="s">
        <v>20</v>
      </c>
      <c r="J6" s="8" t="e" cm="1" vm="3">
        <f t="array" aca="1" ref="J6" ca="1">_xlfn._xlws.SORT(A4:G53,7,-1)</f>
        <v>#VALUE!</v>
      </c>
    </row>
    <row r="7" spans="1:16" x14ac:dyDescent="0.25">
      <c r="A7" s="4">
        <v>4</v>
      </c>
      <c r="B7" s="5" t="s">
        <v>21</v>
      </c>
      <c r="C7" s="5" t="s">
        <v>10</v>
      </c>
      <c r="D7" s="5" t="s">
        <v>15</v>
      </c>
      <c r="E7" s="5" t="s">
        <v>19</v>
      </c>
      <c r="F7" s="4">
        <v>18</v>
      </c>
      <c r="G7" s="6">
        <v>144000</v>
      </c>
      <c r="I7" s="7" t="s">
        <v>22</v>
      </c>
      <c r="J7" s="8" t="e" cm="1" vm="4">
        <f t="array" aca="1" ref="J7" ca="1">_xlfn.UNIQUE(C4:C53)</f>
        <v>#VALUE!</v>
      </c>
    </row>
    <row r="8" spans="1:16" x14ac:dyDescent="0.25">
      <c r="A8" s="4">
        <v>5</v>
      </c>
      <c r="B8" s="5" t="s">
        <v>23</v>
      </c>
      <c r="C8" s="5" t="s">
        <v>24</v>
      </c>
      <c r="D8" s="5" t="s">
        <v>15</v>
      </c>
      <c r="E8" s="5" t="s">
        <v>12</v>
      </c>
      <c r="F8" s="4">
        <v>1</v>
      </c>
      <c r="G8" s="6">
        <v>800</v>
      </c>
      <c r="I8" s="7" t="s">
        <v>25</v>
      </c>
      <c r="J8" s="8" t="e" cm="1" vm="3">
        <f t="array" aca="1" ref="J8" ca="1">_xlfn.SORTBY(A4:G53,C4:C53,1,G4:G53,-1)</f>
        <v>#VALUE!</v>
      </c>
    </row>
    <row r="9" spans="1:16" x14ac:dyDescent="0.25">
      <c r="A9" s="4">
        <v>6</v>
      </c>
      <c r="B9" s="5" t="s">
        <v>26</v>
      </c>
      <c r="C9" s="5" t="s">
        <v>24</v>
      </c>
      <c r="D9" s="5" t="s">
        <v>27</v>
      </c>
      <c r="E9" s="5" t="s">
        <v>12</v>
      </c>
      <c r="F9" s="4">
        <v>5</v>
      </c>
      <c r="G9" s="6">
        <v>6000</v>
      </c>
      <c r="I9" s="7" t="s">
        <v>28</v>
      </c>
      <c r="J9" s="8" t="e" cm="1" vm="5">
        <f t="array" aca="1" ref="J9" ca="1">_xlfn.SEQUENCE(10)</f>
        <v>#VALUE!</v>
      </c>
    </row>
    <row r="10" spans="1:16" x14ac:dyDescent="0.25">
      <c r="A10" s="4">
        <v>7</v>
      </c>
      <c r="B10" s="5" t="s">
        <v>29</v>
      </c>
      <c r="C10" s="5" t="s">
        <v>10</v>
      </c>
      <c r="D10" s="5" t="s">
        <v>11</v>
      </c>
      <c r="E10" s="5" t="s">
        <v>30</v>
      </c>
      <c r="F10" s="4">
        <v>4</v>
      </c>
      <c r="G10" s="6">
        <v>20000</v>
      </c>
      <c r="I10" s="7" t="s">
        <v>31</v>
      </c>
      <c r="J10" s="8" t="e" cm="1" vm="4">
        <f t="array" aca="1" ref="J10" ca="1">_xlfn.UNIQUE(D4:D53)</f>
        <v>#VALUE!</v>
      </c>
    </row>
    <row r="11" spans="1:16" x14ac:dyDescent="0.25">
      <c r="A11" s="4">
        <v>8</v>
      </c>
      <c r="B11" s="5" t="s">
        <v>32</v>
      </c>
      <c r="C11" s="5" t="s">
        <v>33</v>
      </c>
      <c r="D11" s="5" t="s">
        <v>27</v>
      </c>
      <c r="E11" s="5" t="s">
        <v>34</v>
      </c>
      <c r="F11" s="4">
        <v>15</v>
      </c>
      <c r="G11" s="6">
        <v>270000</v>
      </c>
      <c r="I11" s="7" t="s">
        <v>35</v>
      </c>
      <c r="J11" s="8" cm="1">
        <f t="array" ref="J11:P28">_xlfn._xlws.FILTER(A4:G53,(D4:D53="Electronics")+(D4:D53="Food"))</f>
        <v>1</v>
      </c>
      <c r="K11" t="str">
        <v>12-Jun-24</v>
      </c>
      <c r="L11" t="str">
        <v>Dhaka</v>
      </c>
      <c r="M11" t="str">
        <v>Electronics</v>
      </c>
      <c r="N11" t="str">
        <v>Chair</v>
      </c>
      <c r="O11">
        <v>8</v>
      </c>
      <c r="P11">
        <v>9600</v>
      </c>
    </row>
    <row r="12" spans="1:16" x14ac:dyDescent="0.25">
      <c r="A12" s="4">
        <v>9</v>
      </c>
      <c r="B12" s="5" t="s">
        <v>36</v>
      </c>
      <c r="C12" s="5" t="s">
        <v>24</v>
      </c>
      <c r="D12" s="5" t="s">
        <v>11</v>
      </c>
      <c r="E12" s="5" t="s">
        <v>37</v>
      </c>
      <c r="F12" s="4">
        <v>10</v>
      </c>
      <c r="G12" s="6">
        <v>50000</v>
      </c>
      <c r="J12">
        <v>3</v>
      </c>
      <c r="K12" t="str">
        <v>09-Jan-24</v>
      </c>
      <c r="L12" t="str">
        <v>Dhaka</v>
      </c>
      <c r="M12" t="str">
        <v>Electronics</v>
      </c>
      <c r="N12" t="str">
        <v>Rice</v>
      </c>
      <c r="O12">
        <v>8</v>
      </c>
      <c r="P12">
        <v>144000</v>
      </c>
    </row>
    <row r="13" spans="1:16" x14ac:dyDescent="0.25">
      <c r="A13" s="4">
        <v>10</v>
      </c>
      <c r="B13" s="5" t="s">
        <v>38</v>
      </c>
      <c r="C13" s="5" t="s">
        <v>39</v>
      </c>
      <c r="D13" s="5" t="s">
        <v>11</v>
      </c>
      <c r="E13" s="5" t="s">
        <v>34</v>
      </c>
      <c r="F13" s="4">
        <v>8</v>
      </c>
      <c r="G13" s="6">
        <v>20000</v>
      </c>
      <c r="J13">
        <v>6</v>
      </c>
      <c r="K13" t="str">
        <v>27-Jun-24</v>
      </c>
      <c r="L13" t="str">
        <v>Rajshahi</v>
      </c>
      <c r="M13" t="str">
        <v>Food</v>
      </c>
      <c r="N13" t="str">
        <v>Chair</v>
      </c>
      <c r="O13">
        <v>5</v>
      </c>
      <c r="P13">
        <v>6000</v>
      </c>
    </row>
    <row r="14" spans="1:16" x14ac:dyDescent="0.25">
      <c r="A14" s="4">
        <v>11</v>
      </c>
      <c r="B14" s="5" t="s">
        <v>40</v>
      </c>
      <c r="C14" s="5" t="s">
        <v>39</v>
      </c>
      <c r="D14" s="5" t="s">
        <v>11</v>
      </c>
      <c r="E14" s="5" t="s">
        <v>30</v>
      </c>
      <c r="F14" s="4">
        <v>9</v>
      </c>
      <c r="G14" s="6">
        <v>108000</v>
      </c>
      <c r="J14">
        <v>7</v>
      </c>
      <c r="K14" t="str">
        <v>27-Mar-24</v>
      </c>
      <c r="L14" t="str">
        <v>Dhaka</v>
      </c>
      <c r="M14" t="str">
        <v>Electronics</v>
      </c>
      <c r="N14" t="str">
        <v>Oil</v>
      </c>
      <c r="O14">
        <v>4</v>
      </c>
      <c r="P14">
        <v>20000</v>
      </c>
    </row>
    <row r="15" spans="1:16" x14ac:dyDescent="0.25">
      <c r="A15" s="4">
        <v>12</v>
      </c>
      <c r="B15" s="5" t="s">
        <v>41</v>
      </c>
      <c r="C15" s="5" t="s">
        <v>42</v>
      </c>
      <c r="D15" s="5" t="s">
        <v>43</v>
      </c>
      <c r="E15" s="5" t="s">
        <v>44</v>
      </c>
      <c r="F15" s="4">
        <v>12</v>
      </c>
      <c r="G15" s="6">
        <v>14400</v>
      </c>
      <c r="J15">
        <v>8</v>
      </c>
      <c r="K15" t="str">
        <v>29-Mar-24</v>
      </c>
      <c r="L15" t="str">
        <v>Khulna</v>
      </c>
      <c r="M15" t="str">
        <v>Food</v>
      </c>
      <c r="N15" t="str">
        <v>Laptop</v>
      </c>
      <c r="O15">
        <v>15</v>
      </c>
      <c r="P15">
        <v>270000</v>
      </c>
    </row>
    <row r="16" spans="1:16" x14ac:dyDescent="0.25">
      <c r="A16" s="4">
        <v>13</v>
      </c>
      <c r="B16" s="5" t="s">
        <v>45</v>
      </c>
      <c r="C16" s="5" t="s">
        <v>42</v>
      </c>
      <c r="D16" s="5" t="s">
        <v>11</v>
      </c>
      <c r="E16" s="5" t="s">
        <v>46</v>
      </c>
      <c r="F16" s="4">
        <v>6</v>
      </c>
      <c r="G16" s="6">
        <v>108000</v>
      </c>
      <c r="J16">
        <v>9</v>
      </c>
      <c r="K16" t="str">
        <v>01-Feb-24</v>
      </c>
      <c r="L16" t="str">
        <v>Rajshahi</v>
      </c>
      <c r="M16" t="str">
        <v>Electronics</v>
      </c>
      <c r="N16" t="str">
        <v>Pants</v>
      </c>
      <c r="O16">
        <v>10</v>
      </c>
      <c r="P16">
        <v>50000</v>
      </c>
    </row>
    <row r="17" spans="1:16" x14ac:dyDescent="0.25">
      <c r="A17" s="4">
        <v>14</v>
      </c>
      <c r="B17" s="5" t="s">
        <v>47</v>
      </c>
      <c r="C17" s="5" t="s">
        <v>39</v>
      </c>
      <c r="D17" s="5" t="s">
        <v>48</v>
      </c>
      <c r="E17" s="5" t="s">
        <v>30</v>
      </c>
      <c r="F17" s="4">
        <v>9</v>
      </c>
      <c r="G17" s="6">
        <v>162000</v>
      </c>
      <c r="J17">
        <v>10</v>
      </c>
      <c r="K17" t="str">
        <v>27-May-24</v>
      </c>
      <c r="L17" t="str">
        <v>CTG</v>
      </c>
      <c r="M17" t="str">
        <v>Electronics</v>
      </c>
      <c r="N17" t="str">
        <v>Laptop</v>
      </c>
      <c r="O17">
        <v>8</v>
      </c>
      <c r="P17">
        <v>20000</v>
      </c>
    </row>
    <row r="18" spans="1:16" x14ac:dyDescent="0.25">
      <c r="A18" s="4">
        <v>15</v>
      </c>
      <c r="B18" s="5" t="s">
        <v>23</v>
      </c>
      <c r="C18" s="5" t="s">
        <v>42</v>
      </c>
      <c r="D18" s="5" t="s">
        <v>11</v>
      </c>
      <c r="E18" s="5" t="s">
        <v>19</v>
      </c>
      <c r="F18" s="4">
        <v>2</v>
      </c>
      <c r="G18" s="6">
        <v>10000</v>
      </c>
      <c r="J18">
        <v>11</v>
      </c>
      <c r="K18" t="str">
        <v>21-Jan-24</v>
      </c>
      <c r="L18" t="str">
        <v>CTG</v>
      </c>
      <c r="M18" t="str">
        <v>Electronics</v>
      </c>
      <c r="N18" t="str">
        <v>Oil</v>
      </c>
      <c r="O18">
        <v>9</v>
      </c>
      <c r="P18">
        <v>108000</v>
      </c>
    </row>
    <row r="19" spans="1:16" x14ac:dyDescent="0.25">
      <c r="A19" s="4">
        <v>16</v>
      </c>
      <c r="B19" s="5" t="s">
        <v>49</v>
      </c>
      <c r="C19" s="5" t="s">
        <v>42</v>
      </c>
      <c r="D19" s="5" t="s">
        <v>11</v>
      </c>
      <c r="E19" s="5" t="s">
        <v>19</v>
      </c>
      <c r="F19" s="4">
        <v>19</v>
      </c>
      <c r="G19" s="6">
        <v>95000</v>
      </c>
      <c r="J19">
        <v>13</v>
      </c>
      <c r="K19" t="str">
        <v>20-Jun-24</v>
      </c>
      <c r="L19" t="str">
        <v>Sylhet</v>
      </c>
      <c r="M19" t="str">
        <v>Electronics</v>
      </c>
      <c r="N19" t="str">
        <v>Notebook</v>
      </c>
      <c r="O19">
        <v>6</v>
      </c>
      <c r="P19">
        <v>108000</v>
      </c>
    </row>
    <row r="20" spans="1:16" x14ac:dyDescent="0.25">
      <c r="A20" s="4">
        <v>17</v>
      </c>
      <c r="B20" s="5" t="s">
        <v>50</v>
      </c>
      <c r="C20" s="5" t="s">
        <v>24</v>
      </c>
      <c r="D20" s="5" t="s">
        <v>48</v>
      </c>
      <c r="E20" s="5" t="s">
        <v>51</v>
      </c>
      <c r="F20" s="4">
        <v>5</v>
      </c>
      <c r="G20" s="6">
        <v>12500</v>
      </c>
      <c r="J20">
        <v>15</v>
      </c>
      <c r="K20" t="str">
        <v>26-Feb-24</v>
      </c>
      <c r="L20" t="str">
        <v>Sylhet</v>
      </c>
      <c r="M20" t="str">
        <v>Electronics</v>
      </c>
      <c r="N20" t="str">
        <v>Rice</v>
      </c>
      <c r="O20">
        <v>2</v>
      </c>
      <c r="P20">
        <v>10000</v>
      </c>
    </row>
    <row r="21" spans="1:16" x14ac:dyDescent="0.25">
      <c r="A21" s="4">
        <v>18</v>
      </c>
      <c r="B21" s="5" t="s">
        <v>14</v>
      </c>
      <c r="C21" s="5" t="s">
        <v>39</v>
      </c>
      <c r="D21" s="5" t="s">
        <v>15</v>
      </c>
      <c r="E21" s="5" t="s">
        <v>37</v>
      </c>
      <c r="F21" s="4">
        <v>9</v>
      </c>
      <c r="G21" s="6">
        <v>72000</v>
      </c>
      <c r="J21">
        <v>16</v>
      </c>
      <c r="K21" t="str">
        <v>12-Apr-24</v>
      </c>
      <c r="L21" t="str">
        <v>Sylhet</v>
      </c>
      <c r="M21" t="str">
        <v>Electronics</v>
      </c>
      <c r="N21" t="str">
        <v>Rice</v>
      </c>
      <c r="O21">
        <v>19</v>
      </c>
      <c r="P21">
        <v>95000</v>
      </c>
    </row>
    <row r="22" spans="1:16" x14ac:dyDescent="0.25">
      <c r="A22" s="4">
        <v>19</v>
      </c>
      <c r="B22" s="5" t="s">
        <v>52</v>
      </c>
      <c r="C22" s="5" t="s">
        <v>24</v>
      </c>
      <c r="D22" s="5" t="s">
        <v>27</v>
      </c>
      <c r="E22" s="5" t="s">
        <v>19</v>
      </c>
      <c r="F22" s="4">
        <v>5</v>
      </c>
      <c r="G22" s="6">
        <v>90000</v>
      </c>
      <c r="J22">
        <v>19</v>
      </c>
      <c r="K22" t="str">
        <v>29-May-24</v>
      </c>
      <c r="L22" t="str">
        <v>Rajshahi</v>
      </c>
      <c r="M22" t="str">
        <v>Food</v>
      </c>
      <c r="N22" t="str">
        <v>Rice</v>
      </c>
      <c r="O22">
        <v>5</v>
      </c>
      <c r="P22">
        <v>90000</v>
      </c>
    </row>
    <row r="23" spans="1:16" x14ac:dyDescent="0.25">
      <c r="A23" s="4">
        <v>20</v>
      </c>
      <c r="B23" s="5" t="s">
        <v>53</v>
      </c>
      <c r="C23" s="5" t="s">
        <v>10</v>
      </c>
      <c r="D23" s="5" t="s">
        <v>11</v>
      </c>
      <c r="E23" s="5" t="s">
        <v>16</v>
      </c>
      <c r="F23" s="4">
        <v>5</v>
      </c>
      <c r="G23" s="6">
        <v>4000</v>
      </c>
      <c r="J23">
        <v>20</v>
      </c>
      <c r="K23" t="str">
        <v>06-May-24</v>
      </c>
      <c r="L23" t="str">
        <v>Dhaka</v>
      </c>
      <c r="M23" t="str">
        <v>Electronics</v>
      </c>
      <c r="N23" t="str">
        <v>Phone</v>
      </c>
      <c r="O23">
        <v>5</v>
      </c>
      <c r="P23">
        <v>4000</v>
      </c>
    </row>
    <row r="24" spans="1:16" x14ac:dyDescent="0.25">
      <c r="A24" s="4">
        <v>21</v>
      </c>
      <c r="B24" s="5" t="s">
        <v>54</v>
      </c>
      <c r="C24" s="5" t="s">
        <v>24</v>
      </c>
      <c r="D24" s="5" t="s">
        <v>15</v>
      </c>
      <c r="E24" s="5" t="s">
        <v>16</v>
      </c>
      <c r="F24" s="4">
        <v>13</v>
      </c>
      <c r="G24" s="6">
        <v>104000</v>
      </c>
      <c r="J24">
        <v>28</v>
      </c>
      <c r="K24" t="str">
        <v>29-Jan-24</v>
      </c>
      <c r="L24" t="str">
        <v>Sylhet</v>
      </c>
      <c r="M24" t="str">
        <v>Food</v>
      </c>
      <c r="N24" t="str">
        <v>Rice</v>
      </c>
      <c r="O24">
        <v>2</v>
      </c>
      <c r="P24">
        <v>2400</v>
      </c>
    </row>
    <row r="25" spans="1:16" x14ac:dyDescent="0.25">
      <c r="A25" s="4">
        <v>22</v>
      </c>
      <c r="B25" s="5" t="s">
        <v>55</v>
      </c>
      <c r="C25" s="5" t="s">
        <v>24</v>
      </c>
      <c r="D25" s="5" t="s">
        <v>15</v>
      </c>
      <c r="E25" s="5" t="s">
        <v>12</v>
      </c>
      <c r="F25" s="4">
        <v>18</v>
      </c>
      <c r="G25" s="6">
        <v>3600</v>
      </c>
      <c r="J25">
        <v>29</v>
      </c>
      <c r="K25" t="str">
        <v>25-May-24</v>
      </c>
      <c r="L25" t="str">
        <v>Dhaka</v>
      </c>
      <c r="M25" t="str">
        <v>Electronics</v>
      </c>
      <c r="N25" t="str">
        <v>Desk</v>
      </c>
      <c r="O25">
        <v>3</v>
      </c>
      <c r="P25">
        <v>54000</v>
      </c>
    </row>
    <row r="26" spans="1:16" x14ac:dyDescent="0.25">
      <c r="A26" s="4">
        <v>23</v>
      </c>
      <c r="B26" s="5" t="s">
        <v>54</v>
      </c>
      <c r="C26" s="5" t="s">
        <v>10</v>
      </c>
      <c r="D26" s="5" t="s">
        <v>15</v>
      </c>
      <c r="E26" s="5" t="s">
        <v>12</v>
      </c>
      <c r="F26" s="4">
        <v>11</v>
      </c>
      <c r="G26" s="6">
        <v>5500</v>
      </c>
      <c r="J26">
        <v>32</v>
      </c>
      <c r="K26" t="str">
        <v>20-Mar-24</v>
      </c>
      <c r="L26" t="str">
        <v>Rajshahi</v>
      </c>
      <c r="M26" t="str">
        <v>Food</v>
      </c>
      <c r="N26" t="str">
        <v>Desk</v>
      </c>
      <c r="O26">
        <v>17</v>
      </c>
      <c r="P26">
        <v>204000</v>
      </c>
    </row>
    <row r="27" spans="1:16" x14ac:dyDescent="0.25">
      <c r="A27" s="4">
        <v>24</v>
      </c>
      <c r="B27" s="5" t="s">
        <v>56</v>
      </c>
      <c r="C27" s="5" t="s">
        <v>24</v>
      </c>
      <c r="D27" s="5" t="s">
        <v>43</v>
      </c>
      <c r="E27" s="5" t="s">
        <v>51</v>
      </c>
      <c r="F27" s="4">
        <v>1</v>
      </c>
      <c r="G27" s="6">
        <v>2500</v>
      </c>
      <c r="J27">
        <v>40</v>
      </c>
      <c r="K27" t="str">
        <v>16-Jan-24</v>
      </c>
      <c r="L27" t="str">
        <v>Rajshahi</v>
      </c>
      <c r="M27" t="str">
        <v>Food</v>
      </c>
      <c r="N27" t="str">
        <v>Phone</v>
      </c>
      <c r="O27">
        <v>8</v>
      </c>
      <c r="P27">
        <v>9600</v>
      </c>
    </row>
    <row r="28" spans="1:16" x14ac:dyDescent="0.25">
      <c r="A28" s="4">
        <v>25</v>
      </c>
      <c r="B28" s="5" t="s">
        <v>57</v>
      </c>
      <c r="C28" s="5" t="s">
        <v>39</v>
      </c>
      <c r="D28" s="5" t="s">
        <v>15</v>
      </c>
      <c r="E28" s="5" t="s">
        <v>16</v>
      </c>
      <c r="F28" s="4">
        <v>10</v>
      </c>
      <c r="G28" s="6">
        <v>180000</v>
      </c>
      <c r="J28">
        <v>48</v>
      </c>
      <c r="K28" t="str">
        <v>16-Jan-24</v>
      </c>
      <c r="L28" t="str">
        <v>Sylhet</v>
      </c>
      <c r="M28" t="str">
        <v>Electronics</v>
      </c>
      <c r="N28" t="str">
        <v>Laptop</v>
      </c>
      <c r="O28">
        <v>19</v>
      </c>
      <c r="P28">
        <v>228000</v>
      </c>
    </row>
    <row r="29" spans="1:16" x14ac:dyDescent="0.25">
      <c r="A29" s="4">
        <v>26</v>
      </c>
      <c r="B29" s="5" t="s">
        <v>58</v>
      </c>
      <c r="C29" s="5" t="s">
        <v>39</v>
      </c>
      <c r="D29" s="5" t="s">
        <v>43</v>
      </c>
      <c r="E29" s="5" t="s">
        <v>44</v>
      </c>
      <c r="F29" s="4">
        <v>6</v>
      </c>
      <c r="G29" s="6">
        <v>108000</v>
      </c>
    </row>
    <row r="30" spans="1:16" x14ac:dyDescent="0.25">
      <c r="A30" s="4">
        <v>27</v>
      </c>
      <c r="B30" s="5" t="s">
        <v>59</v>
      </c>
      <c r="C30" s="5" t="s">
        <v>10</v>
      </c>
      <c r="D30" s="5" t="s">
        <v>15</v>
      </c>
      <c r="E30" s="5" t="s">
        <v>44</v>
      </c>
      <c r="F30" s="4">
        <v>16</v>
      </c>
      <c r="G30" s="6">
        <v>3200</v>
      </c>
    </row>
    <row r="31" spans="1:16" x14ac:dyDescent="0.25">
      <c r="A31" s="4">
        <v>28</v>
      </c>
      <c r="B31" s="5" t="s">
        <v>60</v>
      </c>
      <c r="C31" s="5" t="s">
        <v>42</v>
      </c>
      <c r="D31" s="5" t="s">
        <v>27</v>
      </c>
      <c r="E31" s="5" t="s">
        <v>19</v>
      </c>
      <c r="F31" s="4">
        <v>2</v>
      </c>
      <c r="G31" s="6">
        <v>2400</v>
      </c>
    </row>
    <row r="32" spans="1:16" x14ac:dyDescent="0.25">
      <c r="A32" s="4">
        <v>29</v>
      </c>
      <c r="B32" s="5" t="s">
        <v>61</v>
      </c>
      <c r="C32" s="5" t="s">
        <v>10</v>
      </c>
      <c r="D32" s="5" t="s">
        <v>11</v>
      </c>
      <c r="E32" s="5" t="s">
        <v>51</v>
      </c>
      <c r="F32" s="4">
        <v>3</v>
      </c>
      <c r="G32" s="6">
        <v>54000</v>
      </c>
    </row>
    <row r="33" spans="1:7" x14ac:dyDescent="0.25">
      <c r="A33" s="4">
        <v>30</v>
      </c>
      <c r="B33" s="5" t="s">
        <v>62</v>
      </c>
      <c r="C33" s="5" t="s">
        <v>39</v>
      </c>
      <c r="D33" s="5" t="s">
        <v>48</v>
      </c>
      <c r="E33" s="5" t="s">
        <v>37</v>
      </c>
      <c r="F33" s="4">
        <v>6</v>
      </c>
      <c r="G33" s="6">
        <v>15000</v>
      </c>
    </row>
    <row r="34" spans="1:7" x14ac:dyDescent="0.25">
      <c r="A34" s="4">
        <v>31</v>
      </c>
      <c r="B34" s="5" t="s">
        <v>59</v>
      </c>
      <c r="C34" s="5" t="s">
        <v>33</v>
      </c>
      <c r="D34" s="5" t="s">
        <v>48</v>
      </c>
      <c r="E34" s="5" t="s">
        <v>19</v>
      </c>
      <c r="F34" s="4">
        <v>18</v>
      </c>
      <c r="G34" s="6">
        <v>21600</v>
      </c>
    </row>
    <row r="35" spans="1:7" x14ac:dyDescent="0.25">
      <c r="A35" s="4">
        <v>32</v>
      </c>
      <c r="B35" s="5" t="s">
        <v>63</v>
      </c>
      <c r="C35" s="5" t="s">
        <v>24</v>
      </c>
      <c r="D35" s="5" t="s">
        <v>27</v>
      </c>
      <c r="E35" s="5" t="s">
        <v>51</v>
      </c>
      <c r="F35" s="4">
        <v>17</v>
      </c>
      <c r="G35" s="6">
        <v>204000</v>
      </c>
    </row>
    <row r="36" spans="1:7" x14ac:dyDescent="0.25">
      <c r="A36" s="4">
        <v>33</v>
      </c>
      <c r="B36" s="5" t="s">
        <v>64</v>
      </c>
      <c r="C36" s="5" t="s">
        <v>39</v>
      </c>
      <c r="D36" s="5" t="s">
        <v>43</v>
      </c>
      <c r="E36" s="5" t="s">
        <v>16</v>
      </c>
      <c r="F36" s="4">
        <v>11</v>
      </c>
      <c r="G36" s="6">
        <v>2200</v>
      </c>
    </row>
    <row r="37" spans="1:7" x14ac:dyDescent="0.25">
      <c r="A37" s="4">
        <v>34</v>
      </c>
      <c r="B37" s="5" t="s">
        <v>65</v>
      </c>
      <c r="C37" s="5" t="s">
        <v>33</v>
      </c>
      <c r="D37" s="5" t="s">
        <v>43</v>
      </c>
      <c r="E37" s="5" t="s">
        <v>46</v>
      </c>
      <c r="F37" s="4">
        <v>8</v>
      </c>
      <c r="G37" s="6">
        <v>1600</v>
      </c>
    </row>
    <row r="38" spans="1:7" x14ac:dyDescent="0.25">
      <c r="A38" s="4">
        <v>35</v>
      </c>
      <c r="B38" s="5" t="s">
        <v>66</v>
      </c>
      <c r="C38" s="5" t="s">
        <v>10</v>
      </c>
      <c r="D38" s="5" t="s">
        <v>43</v>
      </c>
      <c r="E38" s="5" t="s">
        <v>16</v>
      </c>
      <c r="F38" s="4">
        <v>2</v>
      </c>
      <c r="G38" s="6">
        <v>10000</v>
      </c>
    </row>
    <row r="39" spans="1:7" x14ac:dyDescent="0.25">
      <c r="A39" s="4">
        <v>36</v>
      </c>
      <c r="B39" s="5" t="s">
        <v>66</v>
      </c>
      <c r="C39" s="5" t="s">
        <v>33</v>
      </c>
      <c r="D39" s="5" t="s">
        <v>43</v>
      </c>
      <c r="E39" s="5" t="s">
        <v>12</v>
      </c>
      <c r="F39" s="4">
        <v>16</v>
      </c>
      <c r="G39" s="6">
        <v>19200</v>
      </c>
    </row>
    <row r="40" spans="1:7" x14ac:dyDescent="0.25">
      <c r="A40" s="4">
        <v>37</v>
      </c>
      <c r="B40" s="5" t="s">
        <v>67</v>
      </c>
      <c r="C40" s="5" t="s">
        <v>39</v>
      </c>
      <c r="D40" s="5" t="s">
        <v>15</v>
      </c>
      <c r="E40" s="5" t="s">
        <v>46</v>
      </c>
      <c r="F40" s="4">
        <v>16</v>
      </c>
      <c r="G40" s="6">
        <v>19200</v>
      </c>
    </row>
    <row r="41" spans="1:7" x14ac:dyDescent="0.25">
      <c r="A41" s="4">
        <v>38</v>
      </c>
      <c r="B41" s="5" t="s">
        <v>68</v>
      </c>
      <c r="C41" s="5" t="s">
        <v>24</v>
      </c>
      <c r="D41" s="5" t="s">
        <v>43</v>
      </c>
      <c r="E41" s="5" t="s">
        <v>16</v>
      </c>
      <c r="F41" s="4">
        <v>4</v>
      </c>
      <c r="G41" s="6">
        <v>32000</v>
      </c>
    </row>
    <row r="42" spans="1:7" x14ac:dyDescent="0.25">
      <c r="A42" s="4">
        <v>39</v>
      </c>
      <c r="B42" s="5" t="s">
        <v>69</v>
      </c>
      <c r="C42" s="5" t="s">
        <v>24</v>
      </c>
      <c r="D42" s="5" t="s">
        <v>48</v>
      </c>
      <c r="E42" s="5" t="s">
        <v>51</v>
      </c>
      <c r="F42" s="4">
        <v>2</v>
      </c>
      <c r="G42" s="6">
        <v>1000</v>
      </c>
    </row>
    <row r="43" spans="1:7" x14ac:dyDescent="0.25">
      <c r="A43" s="4">
        <v>40</v>
      </c>
      <c r="B43" s="5" t="s">
        <v>70</v>
      </c>
      <c r="C43" s="5" t="s">
        <v>24</v>
      </c>
      <c r="D43" s="5" t="s">
        <v>27</v>
      </c>
      <c r="E43" s="5" t="s">
        <v>16</v>
      </c>
      <c r="F43" s="4">
        <v>8</v>
      </c>
      <c r="G43" s="6">
        <v>9600</v>
      </c>
    </row>
    <row r="44" spans="1:7" x14ac:dyDescent="0.25">
      <c r="A44" s="4">
        <v>41</v>
      </c>
      <c r="B44" s="5" t="s">
        <v>71</v>
      </c>
      <c r="C44" s="5" t="s">
        <v>33</v>
      </c>
      <c r="D44" s="5" t="s">
        <v>48</v>
      </c>
      <c r="E44" s="5" t="s">
        <v>72</v>
      </c>
      <c r="F44" s="4">
        <v>14</v>
      </c>
      <c r="G44" s="6">
        <v>11200</v>
      </c>
    </row>
    <row r="45" spans="1:7" x14ac:dyDescent="0.25">
      <c r="A45" s="4">
        <v>42</v>
      </c>
      <c r="B45" s="5" t="s">
        <v>73</v>
      </c>
      <c r="C45" s="5" t="s">
        <v>24</v>
      </c>
      <c r="D45" s="5" t="s">
        <v>43</v>
      </c>
      <c r="E45" s="5" t="s">
        <v>16</v>
      </c>
      <c r="F45" s="4">
        <v>15</v>
      </c>
      <c r="G45" s="6">
        <v>270000</v>
      </c>
    </row>
    <row r="46" spans="1:7" x14ac:dyDescent="0.25">
      <c r="A46" s="4">
        <v>43</v>
      </c>
      <c r="B46" s="5" t="s">
        <v>74</v>
      </c>
      <c r="C46" s="5" t="s">
        <v>10</v>
      </c>
      <c r="D46" s="5" t="s">
        <v>15</v>
      </c>
      <c r="E46" s="5" t="s">
        <v>34</v>
      </c>
      <c r="F46" s="4">
        <v>3</v>
      </c>
      <c r="G46" s="6">
        <v>3600</v>
      </c>
    </row>
    <row r="47" spans="1:7" x14ac:dyDescent="0.25">
      <c r="A47" s="4">
        <v>44</v>
      </c>
      <c r="B47" s="5" t="s">
        <v>75</v>
      </c>
      <c r="C47" s="5" t="s">
        <v>24</v>
      </c>
      <c r="D47" s="5" t="s">
        <v>48</v>
      </c>
      <c r="E47" s="5" t="s">
        <v>51</v>
      </c>
      <c r="F47" s="4">
        <v>7</v>
      </c>
      <c r="G47" s="6">
        <v>56000</v>
      </c>
    </row>
    <row r="48" spans="1:7" x14ac:dyDescent="0.25">
      <c r="A48" s="4">
        <v>45</v>
      </c>
      <c r="B48" s="5" t="s">
        <v>70</v>
      </c>
      <c r="C48" s="5" t="s">
        <v>39</v>
      </c>
      <c r="D48" s="5" t="s">
        <v>48</v>
      </c>
      <c r="E48" s="5" t="s">
        <v>34</v>
      </c>
      <c r="F48" s="4">
        <v>13</v>
      </c>
      <c r="G48" s="6">
        <v>32500</v>
      </c>
    </row>
    <row r="49" spans="1:7" x14ac:dyDescent="0.25">
      <c r="A49" s="4">
        <v>46</v>
      </c>
      <c r="B49" s="5" t="s">
        <v>76</v>
      </c>
      <c r="C49" s="5" t="s">
        <v>42</v>
      </c>
      <c r="D49" s="5" t="s">
        <v>48</v>
      </c>
      <c r="E49" s="5" t="s">
        <v>37</v>
      </c>
      <c r="F49" s="4">
        <v>16</v>
      </c>
      <c r="G49" s="6">
        <v>12800</v>
      </c>
    </row>
    <row r="50" spans="1:7" x14ac:dyDescent="0.25">
      <c r="A50" s="4">
        <v>47</v>
      </c>
      <c r="B50" s="5" t="s">
        <v>71</v>
      </c>
      <c r="C50" s="5" t="s">
        <v>42</v>
      </c>
      <c r="D50" s="5" t="s">
        <v>43</v>
      </c>
      <c r="E50" s="5" t="s">
        <v>34</v>
      </c>
      <c r="F50" s="4">
        <v>19</v>
      </c>
      <c r="G50" s="6">
        <v>342000</v>
      </c>
    </row>
    <row r="51" spans="1:7" x14ac:dyDescent="0.25">
      <c r="A51" s="4">
        <v>48</v>
      </c>
      <c r="B51" s="5" t="s">
        <v>70</v>
      </c>
      <c r="C51" s="5" t="s">
        <v>42</v>
      </c>
      <c r="D51" s="5" t="s">
        <v>11</v>
      </c>
      <c r="E51" s="5" t="s">
        <v>34</v>
      </c>
      <c r="F51" s="4">
        <v>19</v>
      </c>
      <c r="G51" s="6">
        <v>228000</v>
      </c>
    </row>
    <row r="52" spans="1:7" x14ac:dyDescent="0.25">
      <c r="A52" s="4">
        <v>49</v>
      </c>
      <c r="B52" s="5" t="s">
        <v>57</v>
      </c>
      <c r="C52" s="5" t="s">
        <v>33</v>
      </c>
      <c r="D52" s="5" t="s">
        <v>43</v>
      </c>
      <c r="E52" s="5" t="s">
        <v>34</v>
      </c>
      <c r="F52" s="4">
        <v>17</v>
      </c>
      <c r="G52" s="6">
        <v>8500</v>
      </c>
    </row>
    <row r="53" spans="1:7" x14ac:dyDescent="0.25">
      <c r="A53" s="4">
        <v>50</v>
      </c>
      <c r="B53" s="5" t="s">
        <v>77</v>
      </c>
      <c r="C53" s="5" t="s">
        <v>10</v>
      </c>
      <c r="D53" s="5" t="s">
        <v>15</v>
      </c>
      <c r="E53" s="5" t="s">
        <v>16</v>
      </c>
      <c r="F53" s="4">
        <v>8</v>
      </c>
      <c r="G53" s="6">
        <v>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C19" sqref="C19"/>
    </sheetView>
  </sheetViews>
  <sheetFormatPr defaultRowHeight="15" x14ac:dyDescent="0.25"/>
  <cols>
    <col min="1" max="1" width="40" customWidth="1"/>
    <col min="2" max="2" width="16" customWidth="1"/>
    <col min="3" max="3" width="22.5703125" bestFit="1" customWidth="1"/>
    <col min="4" max="4" width="16.42578125" customWidth="1"/>
    <col min="5" max="6" width="12" customWidth="1"/>
    <col min="7" max="7" width="29.7109375" customWidth="1"/>
    <col min="8" max="8" width="17.140625" customWidth="1"/>
    <col min="9" max="9" width="10.5703125" customWidth="1"/>
    <col min="10" max="10" width="12" customWidth="1"/>
    <col min="11" max="14" width="14" customWidth="1"/>
  </cols>
  <sheetData>
    <row r="1" spans="1:14" ht="27.95" customHeight="1" x14ac:dyDescent="0.25">
      <c r="A1" s="10" t="s">
        <v>78</v>
      </c>
    </row>
    <row r="3" spans="1:14" x14ac:dyDescent="0.25">
      <c r="A3" s="3" t="s">
        <v>79</v>
      </c>
      <c r="G3" s="3" t="s">
        <v>80</v>
      </c>
      <c r="J3" s="3" t="s">
        <v>81</v>
      </c>
    </row>
    <row r="4" spans="1:14" x14ac:dyDescent="0.25">
      <c r="A4" s="2" t="s">
        <v>82</v>
      </c>
      <c r="B4" s="2" t="s">
        <v>5</v>
      </c>
      <c r="C4" s="2" t="s">
        <v>4</v>
      </c>
      <c r="D4" s="2" t="s">
        <v>83</v>
      </c>
      <c r="E4" s="2" t="s">
        <v>84</v>
      </c>
      <c r="H4" s="2" t="s">
        <v>85</v>
      </c>
      <c r="I4" s="2" t="s">
        <v>86</v>
      </c>
      <c r="J4" s="2" t="s">
        <v>3</v>
      </c>
      <c r="K4" s="2" t="s">
        <v>87</v>
      </c>
      <c r="L4" s="2" t="s">
        <v>88</v>
      </c>
      <c r="M4" s="2" t="s">
        <v>89</v>
      </c>
      <c r="N4" s="2" t="s">
        <v>90</v>
      </c>
    </row>
    <row r="5" spans="1:14" x14ac:dyDescent="0.25">
      <c r="A5" s="11" t="s">
        <v>91</v>
      </c>
      <c r="B5" s="12" t="s">
        <v>34</v>
      </c>
      <c r="C5" s="12" t="s">
        <v>11</v>
      </c>
      <c r="D5" s="13">
        <v>85000</v>
      </c>
      <c r="E5" s="13">
        <v>15</v>
      </c>
      <c r="G5" s="14">
        <v>0</v>
      </c>
      <c r="H5" s="15" t="s">
        <v>92</v>
      </c>
      <c r="J5" s="16" t="s">
        <v>10</v>
      </c>
      <c r="K5" s="6">
        <v>751420</v>
      </c>
      <c r="L5" s="6">
        <v>1694695</v>
      </c>
      <c r="M5" s="6">
        <v>1016351</v>
      </c>
      <c r="N5" s="6">
        <v>1714081</v>
      </c>
    </row>
    <row r="6" spans="1:14" x14ac:dyDescent="0.25">
      <c r="A6" s="11" t="s">
        <v>93</v>
      </c>
      <c r="B6" s="12" t="s">
        <v>16</v>
      </c>
      <c r="C6" s="12" t="s">
        <v>11</v>
      </c>
      <c r="D6" s="13">
        <v>25000</v>
      </c>
      <c r="E6" s="13">
        <v>30</v>
      </c>
      <c r="G6" s="14">
        <v>50</v>
      </c>
      <c r="H6" s="15" t="s">
        <v>94</v>
      </c>
      <c r="J6" s="16" t="s">
        <v>39</v>
      </c>
      <c r="K6" s="6">
        <v>1746797</v>
      </c>
      <c r="L6" s="6">
        <v>583344</v>
      </c>
      <c r="M6" s="6">
        <v>1798937</v>
      </c>
      <c r="N6" s="6">
        <v>671931</v>
      </c>
    </row>
    <row r="7" spans="1:14" x14ac:dyDescent="0.25">
      <c r="A7" s="11" t="s">
        <v>95</v>
      </c>
      <c r="B7" s="12" t="s">
        <v>72</v>
      </c>
      <c r="C7" s="12" t="s">
        <v>43</v>
      </c>
      <c r="D7" s="13">
        <v>800</v>
      </c>
      <c r="E7" s="13">
        <v>100</v>
      </c>
      <c r="G7" s="14">
        <v>60</v>
      </c>
      <c r="H7" s="15" t="s">
        <v>96</v>
      </c>
      <c r="J7" s="16" t="s">
        <v>42</v>
      </c>
      <c r="K7" s="6">
        <v>1379178</v>
      </c>
      <c r="L7" s="6">
        <v>1878611</v>
      </c>
      <c r="M7" s="6">
        <v>1724049</v>
      </c>
      <c r="N7" s="6">
        <v>1685366</v>
      </c>
    </row>
    <row r="8" spans="1:14" x14ac:dyDescent="0.25">
      <c r="A8" s="11" t="s">
        <v>97</v>
      </c>
      <c r="B8" s="12" t="s">
        <v>37</v>
      </c>
      <c r="C8" s="12" t="s">
        <v>43</v>
      </c>
      <c r="D8" s="13">
        <v>1200</v>
      </c>
      <c r="E8" s="13">
        <v>80</v>
      </c>
      <c r="G8" s="14">
        <v>70</v>
      </c>
      <c r="H8" s="15" t="s">
        <v>98</v>
      </c>
    </row>
    <row r="9" spans="1:14" x14ac:dyDescent="0.25">
      <c r="A9" s="11" t="s">
        <v>99</v>
      </c>
      <c r="B9" s="12" t="s">
        <v>100</v>
      </c>
      <c r="C9" s="12" t="s">
        <v>27</v>
      </c>
      <c r="D9" s="13">
        <v>3500</v>
      </c>
      <c r="E9" s="13">
        <v>50</v>
      </c>
      <c r="G9" s="14">
        <v>80</v>
      </c>
      <c r="H9" s="15" t="s">
        <v>101</v>
      </c>
    </row>
    <row r="10" spans="1:14" x14ac:dyDescent="0.25">
      <c r="A10" s="11" t="s">
        <v>102</v>
      </c>
      <c r="B10" s="12" t="s">
        <v>103</v>
      </c>
      <c r="C10" s="12" t="s">
        <v>27</v>
      </c>
      <c r="D10" s="13">
        <v>800</v>
      </c>
      <c r="E10" s="13">
        <v>60</v>
      </c>
    </row>
    <row r="11" spans="1:14" x14ac:dyDescent="0.25">
      <c r="A11" s="11" t="s">
        <v>104</v>
      </c>
      <c r="B11" s="12" t="s">
        <v>12</v>
      </c>
      <c r="C11" s="12" t="s">
        <v>48</v>
      </c>
      <c r="D11" s="13">
        <v>5000</v>
      </c>
      <c r="E11" s="13">
        <v>20</v>
      </c>
    </row>
    <row r="12" spans="1:14" x14ac:dyDescent="0.25">
      <c r="A12" s="11" t="s">
        <v>105</v>
      </c>
      <c r="B12" s="12" t="s">
        <v>51</v>
      </c>
      <c r="C12" s="12" t="s">
        <v>48</v>
      </c>
      <c r="D12" s="13">
        <v>8000</v>
      </c>
      <c r="E12" s="13">
        <v>10</v>
      </c>
    </row>
    <row r="13" spans="1:14" x14ac:dyDescent="0.25">
      <c r="A13" s="11" t="s">
        <v>106</v>
      </c>
      <c r="B13" s="12" t="s">
        <v>107</v>
      </c>
      <c r="C13" s="12" t="s">
        <v>15</v>
      </c>
      <c r="D13" s="13">
        <v>150</v>
      </c>
      <c r="E13" s="13">
        <v>200</v>
      </c>
    </row>
    <row r="14" spans="1:14" x14ac:dyDescent="0.25">
      <c r="A14" s="11" t="s">
        <v>108</v>
      </c>
      <c r="B14" s="12" t="s">
        <v>46</v>
      </c>
      <c r="C14" s="12" t="s">
        <v>15</v>
      </c>
      <c r="D14" s="13">
        <v>200</v>
      </c>
      <c r="E14" s="13">
        <v>150</v>
      </c>
    </row>
    <row r="17" spans="1:5" x14ac:dyDescent="0.25">
      <c r="A17" s="17" t="s">
        <v>109</v>
      </c>
    </row>
    <row r="18" spans="1:5" x14ac:dyDescent="0.25">
      <c r="A18" s="2" t="s">
        <v>110</v>
      </c>
      <c r="B18" s="2" t="s">
        <v>111</v>
      </c>
      <c r="C18" s="2" t="s">
        <v>155</v>
      </c>
    </row>
    <row r="19" spans="1:5" x14ac:dyDescent="0.25">
      <c r="A19" s="7" t="s">
        <v>112</v>
      </c>
      <c r="B19" s="8" t="s">
        <v>95</v>
      </c>
      <c r="C19" s="8" t="str">
        <f>_xlfn.XLOOKUP(B19,$A$5:$A$14,$B$5:$B$14)</f>
        <v>Shirt</v>
      </c>
    </row>
    <row r="20" spans="1:5" x14ac:dyDescent="0.25">
      <c r="A20" s="7" t="s">
        <v>113</v>
      </c>
      <c r="B20" s="8" t="s">
        <v>104</v>
      </c>
      <c r="C20" s="8" t="str" cm="1">
        <f t="array" ref="C20:E20">_xlfn.XLOOKUP(B20,$A$5:$A$14,$B$5:$D$14,"Not found")</f>
        <v>Chair</v>
      </c>
      <c r="D20" t="str">
        <v>Furniture</v>
      </c>
      <c r="E20">
        <v>5000</v>
      </c>
    </row>
    <row r="21" spans="1:5" x14ac:dyDescent="0.25">
      <c r="A21" s="7" t="s">
        <v>114</v>
      </c>
      <c r="B21" s="8" t="s">
        <v>115</v>
      </c>
      <c r="C21" s="8" t="str">
        <f>_xlfn.XLOOKUP(B21,$G$5:$G$9,$H$5:$H$9,"N/A",1)</f>
        <v>N/A</v>
      </c>
    </row>
    <row r="22" spans="1:5" x14ac:dyDescent="0.25">
      <c r="A22" s="7" t="s">
        <v>116</v>
      </c>
      <c r="B22" s="8" t="s">
        <v>91</v>
      </c>
      <c r="C22" s="8" t="str">
        <f>_xlfn.XLOOKUP(B22,$A$5:$A$14,$B$5:$B$14,"N/A",0,-1)</f>
        <v>Laptop</v>
      </c>
    </row>
    <row r="23" spans="1:5" x14ac:dyDescent="0.25">
      <c r="A23" s="7" t="s">
        <v>117</v>
      </c>
      <c r="B23" s="8" t="s">
        <v>10</v>
      </c>
      <c r="C23" s="8" cm="1">
        <f t="array" ref="C23">_xlfn.XLOOKUP(B23,$J$5:$J$7,_xlfn.XLOOKUP("Q2",$K$4:$N$4,$K$5:$N$7))</f>
        <v>1694695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B16" sqref="B16"/>
    </sheetView>
  </sheetViews>
  <sheetFormatPr defaultRowHeight="15" x14ac:dyDescent="0.25"/>
  <cols>
    <col min="1" max="1" width="48.85546875" customWidth="1"/>
    <col min="2" max="2" width="50" customWidth="1"/>
    <col min="3" max="3" width="3" customWidth="1"/>
    <col min="4" max="4" width="40" customWidth="1"/>
  </cols>
  <sheetData>
    <row r="1" spans="1:4" ht="27.95" customHeight="1" x14ac:dyDescent="0.25">
      <c r="A1" s="18" t="s">
        <v>118</v>
      </c>
    </row>
    <row r="3" spans="1:4" x14ac:dyDescent="0.25">
      <c r="A3" s="3" t="s">
        <v>119</v>
      </c>
    </row>
    <row r="4" spans="1:4" x14ac:dyDescent="0.25">
      <c r="A4" s="7" t="s">
        <v>120</v>
      </c>
      <c r="B4" s="19">
        <v>3000000</v>
      </c>
    </row>
    <row r="5" spans="1:4" x14ac:dyDescent="0.25">
      <c r="A5" s="7" t="s">
        <v>121</v>
      </c>
      <c r="B5" s="20">
        <v>0.09</v>
      </c>
    </row>
    <row r="6" spans="1:4" x14ac:dyDescent="0.25">
      <c r="A6" s="7" t="s">
        <v>122</v>
      </c>
      <c r="B6" s="21">
        <v>15</v>
      </c>
    </row>
    <row r="8" spans="1:4" x14ac:dyDescent="0.25">
      <c r="A8" s="22" t="s">
        <v>123</v>
      </c>
    </row>
    <row r="9" spans="1:4" x14ac:dyDescent="0.25">
      <c r="A9" s="7" t="s">
        <v>124</v>
      </c>
      <c r="B9" s="19">
        <f>_xlfn.LET(_xlpm.rate,B5/12,_xlpm.nper,B6*12,_xlpm.pmt,PMT(_xlpm.rate,_xlpm.nper,-B4),_xlpm.pmt)</f>
        <v>30427.997524853548</v>
      </c>
    </row>
    <row r="10" spans="1:4" x14ac:dyDescent="0.25">
      <c r="A10" s="7" t="s">
        <v>125</v>
      </c>
      <c r="B10" s="19"/>
    </row>
    <row r="12" spans="1:4" x14ac:dyDescent="0.25">
      <c r="A12" s="23" t="s">
        <v>126</v>
      </c>
    </row>
    <row r="13" spans="1:4" x14ac:dyDescent="0.25">
      <c r="A13" s="24" t="s">
        <v>127</v>
      </c>
      <c r="B13" s="25" t="s">
        <v>128</v>
      </c>
    </row>
    <row r="14" spans="1:4" x14ac:dyDescent="0.25">
      <c r="A14" s="7" t="s">
        <v>129</v>
      </c>
      <c r="B14" s="26" t="e" cm="1">
        <f t="array" aca="1" ref="B14" ca="1">LAMBDA(P, annual_rate, n,_xlfn.LET(_xlpm.r, annual_rate/12/100, P * (_xlpm.r * (1+_xlpm.r)^n) / ((1+_xlpm.r)^n - 1)))</f>
        <v>#NAME?</v>
      </c>
    </row>
    <row r="15" spans="1:4" x14ac:dyDescent="0.25">
      <c r="A15" s="7" t="s">
        <v>130</v>
      </c>
      <c r="B15" s="19">
        <f>PMT(B5,B6*12,-B4)</f>
        <v>270000.04949874803</v>
      </c>
      <c r="D15" s="9" t="e">
        <f ca="1">MONTHLY_EMI(3000000,9%,15)  → Same as PMT result</f>
        <v>#NAME?</v>
      </c>
    </row>
    <row r="17" spans="1:4" x14ac:dyDescent="0.25">
      <c r="A17" s="24" t="s">
        <v>131</v>
      </c>
      <c r="B17" s="25" t="s">
        <v>132</v>
      </c>
    </row>
    <row r="18" spans="1:4" x14ac:dyDescent="0.25">
      <c r="A18" s="7" t="s">
        <v>129</v>
      </c>
      <c r="B18" s="26" t="e">
        <f ca="1">LAMBDA(fixed_cost,price,var_cost,fixed_cost/(price-var_cost))</f>
        <v>#NAME?</v>
      </c>
    </row>
    <row r="19" spans="1:4" x14ac:dyDescent="0.25">
      <c r="A19" s="7" t="s">
        <v>133</v>
      </c>
      <c r="B19" s="19"/>
      <c r="D19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4477-0ADD-4505-9A43-687567569720}">
  <dimension ref="A1:K91"/>
  <sheetViews>
    <sheetView topLeftCell="A78" zoomScale="130" zoomScaleNormal="130" workbookViewId="0"/>
  </sheetViews>
  <sheetFormatPr defaultRowHeight="15" x14ac:dyDescent="0.25"/>
  <cols>
    <col min="1" max="1" width="14.140625" bestFit="1" customWidth="1"/>
    <col min="2" max="2" width="15.85546875" bestFit="1" customWidth="1"/>
    <col min="3" max="3" width="16.5703125" bestFit="1" customWidth="1"/>
    <col min="4" max="4" width="14" bestFit="1" customWidth="1"/>
    <col min="5" max="5" width="14.5703125" bestFit="1" customWidth="1"/>
    <col min="6" max="6" width="15.28515625" bestFit="1" customWidth="1"/>
    <col min="7" max="7" width="10.42578125" bestFit="1" customWidth="1"/>
    <col min="8" max="8" width="8.7109375" bestFit="1" customWidth="1"/>
    <col min="9" max="9" width="9.42578125" bestFit="1" customWidth="1"/>
    <col min="10" max="10" width="9.7109375" bestFit="1" customWidth="1"/>
    <col min="11" max="11" width="16.5703125" bestFit="1" customWidth="1"/>
  </cols>
  <sheetData>
    <row r="1" spans="1:11" x14ac:dyDescent="0.25">
      <c r="A1" t="s">
        <v>156</v>
      </c>
      <c r="B1" t="s">
        <v>157</v>
      </c>
      <c r="C1" t="s">
        <v>158</v>
      </c>
      <c r="D1" t="s">
        <v>159</v>
      </c>
      <c r="E1" t="s">
        <v>4</v>
      </c>
      <c r="F1" t="s">
        <v>160</v>
      </c>
      <c r="G1" t="s">
        <v>161</v>
      </c>
      <c r="H1" t="s">
        <v>162</v>
      </c>
      <c r="I1" t="s">
        <v>3</v>
      </c>
      <c r="J1" t="s">
        <v>163</v>
      </c>
      <c r="K1" t="s">
        <v>254</v>
      </c>
    </row>
    <row r="2" spans="1:11" x14ac:dyDescent="0.25">
      <c r="A2" s="30" t="s">
        <v>164</v>
      </c>
      <c r="B2" s="31">
        <v>45455</v>
      </c>
      <c r="C2" s="31">
        <v>45457</v>
      </c>
      <c r="D2" s="30" t="s">
        <v>165</v>
      </c>
      <c r="E2" s="30" t="s">
        <v>166</v>
      </c>
      <c r="F2" s="30" t="s">
        <v>167</v>
      </c>
      <c r="G2">
        <v>5000</v>
      </c>
      <c r="H2" s="30" t="s">
        <v>168</v>
      </c>
      <c r="I2" s="30" t="s">
        <v>10</v>
      </c>
      <c r="J2" s="30" t="s">
        <v>169</v>
      </c>
      <c r="K2">
        <v>2</v>
      </c>
    </row>
    <row r="3" spans="1:11" x14ac:dyDescent="0.25">
      <c r="A3" s="30" t="s">
        <v>170</v>
      </c>
      <c r="B3" s="31">
        <v>45435</v>
      </c>
      <c r="C3" s="31">
        <v>45439</v>
      </c>
      <c r="D3" s="30" t="s">
        <v>171</v>
      </c>
      <c r="E3" s="30" t="s">
        <v>172</v>
      </c>
      <c r="F3" s="30" t="s">
        <v>173</v>
      </c>
      <c r="G3">
        <v>120000</v>
      </c>
      <c r="H3" s="30" t="s">
        <v>174</v>
      </c>
      <c r="I3" s="30" t="s">
        <v>24</v>
      </c>
      <c r="J3" s="30" t="s">
        <v>169</v>
      </c>
      <c r="K3">
        <v>4</v>
      </c>
    </row>
    <row r="4" spans="1:11" x14ac:dyDescent="0.25">
      <c r="A4" s="30" t="s">
        <v>175</v>
      </c>
      <c r="B4" s="31">
        <v>45363</v>
      </c>
      <c r="C4" s="31">
        <v>45366</v>
      </c>
      <c r="D4" s="30" t="s">
        <v>176</v>
      </c>
      <c r="E4" s="30" t="s">
        <v>177</v>
      </c>
      <c r="F4" s="30" t="s">
        <v>178</v>
      </c>
      <c r="G4">
        <v>25000</v>
      </c>
      <c r="H4" s="30" t="s">
        <v>174</v>
      </c>
      <c r="I4" s="30" t="s">
        <v>10</v>
      </c>
      <c r="J4" s="30" t="s">
        <v>169</v>
      </c>
      <c r="K4">
        <v>3</v>
      </c>
    </row>
    <row r="5" spans="1:11" x14ac:dyDescent="0.25">
      <c r="A5" s="30" t="s">
        <v>179</v>
      </c>
      <c r="B5" s="31">
        <v>45380</v>
      </c>
      <c r="C5" s="31">
        <v>45390</v>
      </c>
      <c r="D5" s="30" t="s">
        <v>180</v>
      </c>
      <c r="E5" s="30" t="s">
        <v>181</v>
      </c>
      <c r="F5" s="30" t="s">
        <v>178</v>
      </c>
      <c r="G5">
        <v>50000</v>
      </c>
      <c r="H5" s="30" t="s">
        <v>174</v>
      </c>
      <c r="I5" s="30" t="s">
        <v>10</v>
      </c>
      <c r="J5" s="30" t="s">
        <v>182</v>
      </c>
      <c r="K5">
        <v>10</v>
      </c>
    </row>
    <row r="6" spans="1:11" x14ac:dyDescent="0.25">
      <c r="A6" s="30" t="s">
        <v>183</v>
      </c>
      <c r="B6" s="31">
        <v>45367</v>
      </c>
      <c r="C6" s="31">
        <v>45381</v>
      </c>
      <c r="D6" s="30" t="s">
        <v>184</v>
      </c>
      <c r="E6" s="30" t="s">
        <v>177</v>
      </c>
      <c r="F6" s="30" t="s">
        <v>185</v>
      </c>
      <c r="G6">
        <v>80000</v>
      </c>
      <c r="H6" s="30" t="s">
        <v>174</v>
      </c>
      <c r="I6" s="30" t="s">
        <v>10</v>
      </c>
      <c r="J6" s="30" t="s">
        <v>186</v>
      </c>
      <c r="K6">
        <v>14</v>
      </c>
    </row>
    <row r="7" spans="1:11" x14ac:dyDescent="0.25">
      <c r="A7" s="30" t="s">
        <v>187</v>
      </c>
      <c r="B7" s="31">
        <v>45317</v>
      </c>
      <c r="C7" s="31">
        <v>45324</v>
      </c>
      <c r="D7" s="30" t="s">
        <v>176</v>
      </c>
      <c r="E7" s="30" t="s">
        <v>166</v>
      </c>
      <c r="F7" s="30" t="s">
        <v>188</v>
      </c>
      <c r="G7">
        <v>50000</v>
      </c>
      <c r="H7" s="30" t="s">
        <v>174</v>
      </c>
      <c r="I7" s="30" t="s">
        <v>39</v>
      </c>
      <c r="J7" s="30" t="s">
        <v>169</v>
      </c>
      <c r="K7">
        <v>7</v>
      </c>
    </row>
    <row r="8" spans="1:11" x14ac:dyDescent="0.25">
      <c r="A8" s="30" t="s">
        <v>189</v>
      </c>
      <c r="B8" s="31">
        <v>45360</v>
      </c>
      <c r="C8" s="31">
        <v>45372</v>
      </c>
      <c r="D8" s="30" t="s">
        <v>165</v>
      </c>
      <c r="E8" s="30" t="s">
        <v>181</v>
      </c>
      <c r="F8" s="30" t="s">
        <v>185</v>
      </c>
      <c r="G8">
        <v>8000</v>
      </c>
      <c r="H8" s="30" t="s">
        <v>174</v>
      </c>
      <c r="I8" s="30" t="s">
        <v>24</v>
      </c>
      <c r="J8" s="30" t="s">
        <v>190</v>
      </c>
      <c r="K8">
        <v>12</v>
      </c>
    </row>
    <row r="9" spans="1:11" x14ac:dyDescent="0.25">
      <c r="A9" s="30" t="s">
        <v>191</v>
      </c>
      <c r="B9" s="31">
        <v>45361</v>
      </c>
      <c r="C9" s="31">
        <v>45376</v>
      </c>
      <c r="D9" s="30" t="s">
        <v>184</v>
      </c>
      <c r="E9" s="30" t="s">
        <v>166</v>
      </c>
      <c r="F9" s="30" t="s">
        <v>173</v>
      </c>
      <c r="G9">
        <v>25000</v>
      </c>
      <c r="H9" s="30" t="s">
        <v>174</v>
      </c>
      <c r="I9" s="30" t="s">
        <v>24</v>
      </c>
      <c r="J9" s="30" t="s">
        <v>169</v>
      </c>
      <c r="K9">
        <v>15</v>
      </c>
    </row>
    <row r="10" spans="1:11" x14ac:dyDescent="0.25">
      <c r="A10" s="30" t="s">
        <v>192</v>
      </c>
      <c r="B10" s="31">
        <v>45308</v>
      </c>
      <c r="C10" s="31">
        <v>45312</v>
      </c>
      <c r="D10" s="30" t="s">
        <v>180</v>
      </c>
      <c r="E10" s="30" t="s">
        <v>193</v>
      </c>
      <c r="F10" s="30" t="s">
        <v>194</v>
      </c>
      <c r="G10">
        <v>80000</v>
      </c>
      <c r="H10" s="30" t="s">
        <v>174</v>
      </c>
      <c r="I10" s="30" t="s">
        <v>42</v>
      </c>
      <c r="J10" s="30" t="s">
        <v>186</v>
      </c>
      <c r="K10">
        <v>4</v>
      </c>
    </row>
    <row r="11" spans="1:11" x14ac:dyDescent="0.25">
      <c r="A11" s="30" t="s">
        <v>195</v>
      </c>
      <c r="B11" s="31">
        <v>45355</v>
      </c>
      <c r="C11" s="31">
        <v>45367</v>
      </c>
      <c r="D11" s="30" t="s">
        <v>180</v>
      </c>
      <c r="E11" s="30" t="s">
        <v>181</v>
      </c>
      <c r="F11" s="30" t="s">
        <v>196</v>
      </c>
      <c r="G11">
        <v>50000</v>
      </c>
      <c r="H11" s="30" t="s">
        <v>174</v>
      </c>
      <c r="I11" s="30" t="s">
        <v>39</v>
      </c>
      <c r="J11" s="30" t="s">
        <v>186</v>
      </c>
      <c r="K11">
        <v>12</v>
      </c>
    </row>
    <row r="12" spans="1:11" x14ac:dyDescent="0.25">
      <c r="A12" s="30" t="s">
        <v>197</v>
      </c>
      <c r="B12" s="31">
        <v>45422</v>
      </c>
      <c r="C12" s="31">
        <v>45430</v>
      </c>
      <c r="D12" s="30" t="s">
        <v>184</v>
      </c>
      <c r="E12" s="30" t="s">
        <v>166</v>
      </c>
      <c r="F12" s="30" t="s">
        <v>167</v>
      </c>
      <c r="G12">
        <v>8000</v>
      </c>
      <c r="H12" s="30" t="s">
        <v>168</v>
      </c>
      <c r="I12" s="30" t="s">
        <v>24</v>
      </c>
      <c r="J12" s="30" t="s">
        <v>182</v>
      </c>
      <c r="K12">
        <v>8</v>
      </c>
    </row>
    <row r="13" spans="1:11" x14ac:dyDescent="0.25">
      <c r="A13" s="30" t="s">
        <v>198</v>
      </c>
      <c r="B13" s="31">
        <v>45321</v>
      </c>
      <c r="C13" s="31">
        <v>45332</v>
      </c>
      <c r="D13" s="30" t="s">
        <v>176</v>
      </c>
      <c r="E13" s="30" t="s">
        <v>177</v>
      </c>
      <c r="F13" s="30" t="s">
        <v>199</v>
      </c>
      <c r="G13">
        <v>50000</v>
      </c>
      <c r="H13" s="30" t="s">
        <v>174</v>
      </c>
      <c r="I13" s="30" t="s">
        <v>39</v>
      </c>
      <c r="J13" s="30" t="s">
        <v>190</v>
      </c>
      <c r="K13">
        <v>11</v>
      </c>
    </row>
    <row r="14" spans="1:11" x14ac:dyDescent="0.25">
      <c r="A14" s="30" t="s">
        <v>200</v>
      </c>
      <c r="B14" s="31">
        <v>45292</v>
      </c>
      <c r="C14" s="31">
        <v>45304</v>
      </c>
      <c r="D14" s="30" t="s">
        <v>165</v>
      </c>
      <c r="E14" s="30" t="s">
        <v>181</v>
      </c>
      <c r="F14" s="30" t="s">
        <v>178</v>
      </c>
      <c r="G14">
        <v>50000</v>
      </c>
      <c r="H14" s="30" t="s">
        <v>168</v>
      </c>
      <c r="I14" s="30" t="s">
        <v>42</v>
      </c>
      <c r="J14" s="30" t="s">
        <v>169</v>
      </c>
      <c r="K14">
        <v>12</v>
      </c>
    </row>
    <row r="15" spans="1:11" x14ac:dyDescent="0.25">
      <c r="A15" s="30" t="s">
        <v>201</v>
      </c>
      <c r="B15" s="31">
        <v>45421</v>
      </c>
      <c r="C15" s="31">
        <v>45431</v>
      </c>
      <c r="D15" s="30" t="s">
        <v>165</v>
      </c>
      <c r="E15" s="30" t="s">
        <v>181</v>
      </c>
      <c r="F15" s="30" t="s">
        <v>202</v>
      </c>
      <c r="G15">
        <v>25000</v>
      </c>
      <c r="H15" s="30" t="s">
        <v>174</v>
      </c>
      <c r="I15" s="30" t="s">
        <v>33</v>
      </c>
      <c r="J15" s="30" t="s">
        <v>169</v>
      </c>
      <c r="K15">
        <v>10</v>
      </c>
    </row>
    <row r="16" spans="1:11" x14ac:dyDescent="0.25">
      <c r="A16" s="30" t="s">
        <v>203</v>
      </c>
      <c r="B16" s="31">
        <v>45417</v>
      </c>
      <c r="C16" s="31">
        <v>45418</v>
      </c>
      <c r="D16" s="30" t="s">
        <v>176</v>
      </c>
      <c r="E16" s="30" t="s">
        <v>166</v>
      </c>
      <c r="F16" s="30" t="s">
        <v>173</v>
      </c>
      <c r="G16">
        <v>8000</v>
      </c>
      <c r="H16" s="30" t="s">
        <v>174</v>
      </c>
      <c r="I16" s="30" t="s">
        <v>33</v>
      </c>
      <c r="J16" s="30" t="s">
        <v>204</v>
      </c>
      <c r="K16">
        <v>1</v>
      </c>
    </row>
    <row r="17" spans="1:11" x14ac:dyDescent="0.25">
      <c r="A17" s="30" t="s">
        <v>205</v>
      </c>
      <c r="B17" s="31">
        <v>45313</v>
      </c>
      <c r="C17" s="31">
        <v>45325</v>
      </c>
      <c r="D17" s="30" t="s">
        <v>171</v>
      </c>
      <c r="E17" s="30" t="s">
        <v>166</v>
      </c>
      <c r="F17" s="30" t="s">
        <v>167</v>
      </c>
      <c r="G17">
        <v>200000</v>
      </c>
      <c r="H17" s="30" t="s">
        <v>168</v>
      </c>
      <c r="I17" s="30" t="s">
        <v>24</v>
      </c>
      <c r="J17" s="30" t="s">
        <v>182</v>
      </c>
      <c r="K17">
        <v>12</v>
      </c>
    </row>
    <row r="18" spans="1:11" x14ac:dyDescent="0.25">
      <c r="A18" s="30" t="s">
        <v>206</v>
      </c>
      <c r="B18" s="31">
        <v>45334</v>
      </c>
      <c r="C18" s="31">
        <v>45339</v>
      </c>
      <c r="D18" s="30" t="s">
        <v>171</v>
      </c>
      <c r="E18" s="30" t="s">
        <v>166</v>
      </c>
      <c r="F18" s="30" t="s">
        <v>199</v>
      </c>
      <c r="G18">
        <v>120000</v>
      </c>
      <c r="H18" s="30" t="s">
        <v>174</v>
      </c>
      <c r="I18" s="30" t="s">
        <v>42</v>
      </c>
      <c r="J18" s="30" t="s">
        <v>190</v>
      </c>
      <c r="K18">
        <v>5</v>
      </c>
    </row>
    <row r="19" spans="1:11" x14ac:dyDescent="0.25">
      <c r="A19" s="30" t="s">
        <v>255</v>
      </c>
      <c r="B19" s="31">
        <v>45442</v>
      </c>
      <c r="C19" s="31"/>
      <c r="D19" s="30" t="s">
        <v>184</v>
      </c>
      <c r="E19" s="30" t="s">
        <v>166</v>
      </c>
      <c r="F19" s="30" t="s">
        <v>178</v>
      </c>
      <c r="G19">
        <v>5000</v>
      </c>
      <c r="H19" s="30" t="s">
        <v>174</v>
      </c>
      <c r="I19" s="30" t="s">
        <v>42</v>
      </c>
      <c r="J19" s="30" t="s">
        <v>204</v>
      </c>
    </row>
    <row r="20" spans="1:11" x14ac:dyDescent="0.25">
      <c r="A20" s="30" t="s">
        <v>207</v>
      </c>
      <c r="B20" s="31">
        <v>45423</v>
      </c>
      <c r="C20" s="31">
        <v>45427</v>
      </c>
      <c r="D20" s="30" t="s">
        <v>165</v>
      </c>
      <c r="E20" s="30" t="s">
        <v>181</v>
      </c>
      <c r="F20" s="30" t="s">
        <v>167</v>
      </c>
      <c r="G20">
        <v>50000</v>
      </c>
      <c r="H20" s="30" t="s">
        <v>168</v>
      </c>
      <c r="I20" s="30" t="s">
        <v>33</v>
      </c>
      <c r="J20" s="30" t="s">
        <v>182</v>
      </c>
      <c r="K20">
        <v>4</v>
      </c>
    </row>
    <row r="21" spans="1:11" x14ac:dyDescent="0.25">
      <c r="A21" s="30" t="s">
        <v>208</v>
      </c>
      <c r="B21" s="31">
        <v>45413</v>
      </c>
      <c r="C21" s="31">
        <v>45417</v>
      </c>
      <c r="D21" s="30" t="s">
        <v>165</v>
      </c>
      <c r="E21" s="30" t="s">
        <v>177</v>
      </c>
      <c r="F21" s="30" t="s">
        <v>178</v>
      </c>
      <c r="G21">
        <v>200000</v>
      </c>
      <c r="H21" s="30" t="s">
        <v>168</v>
      </c>
      <c r="I21" s="30" t="s">
        <v>24</v>
      </c>
      <c r="J21" s="30" t="s">
        <v>169</v>
      </c>
      <c r="K21">
        <v>4</v>
      </c>
    </row>
    <row r="22" spans="1:11" x14ac:dyDescent="0.25">
      <c r="A22" s="30" t="s">
        <v>209</v>
      </c>
      <c r="B22" s="31">
        <v>45400</v>
      </c>
      <c r="C22" s="31">
        <v>45407</v>
      </c>
      <c r="D22" s="30" t="s">
        <v>184</v>
      </c>
      <c r="E22" s="30" t="s">
        <v>177</v>
      </c>
      <c r="F22" s="30" t="s">
        <v>173</v>
      </c>
      <c r="G22">
        <v>200000</v>
      </c>
      <c r="H22" s="30" t="s">
        <v>174</v>
      </c>
      <c r="I22" s="30" t="s">
        <v>42</v>
      </c>
      <c r="J22" s="30" t="s">
        <v>204</v>
      </c>
      <c r="K22">
        <v>7</v>
      </c>
    </row>
    <row r="23" spans="1:11" x14ac:dyDescent="0.25">
      <c r="A23" s="30" t="s">
        <v>210</v>
      </c>
      <c r="B23" s="31">
        <v>45355</v>
      </c>
      <c r="C23" s="31">
        <v>45359</v>
      </c>
      <c r="D23" s="30" t="s">
        <v>165</v>
      </c>
      <c r="E23" s="30" t="s">
        <v>193</v>
      </c>
      <c r="F23" s="30" t="s">
        <v>167</v>
      </c>
      <c r="G23">
        <v>25000</v>
      </c>
      <c r="H23" s="30" t="s">
        <v>174</v>
      </c>
      <c r="I23" s="30" t="s">
        <v>24</v>
      </c>
      <c r="J23" s="30" t="s">
        <v>186</v>
      </c>
      <c r="K23">
        <v>4</v>
      </c>
    </row>
    <row r="24" spans="1:11" x14ac:dyDescent="0.25">
      <c r="A24" s="30" t="s">
        <v>256</v>
      </c>
      <c r="B24" s="31">
        <v>45311</v>
      </c>
      <c r="C24" s="31"/>
      <c r="D24" s="30" t="s">
        <v>171</v>
      </c>
      <c r="E24" s="30" t="s">
        <v>177</v>
      </c>
      <c r="F24" s="30" t="s">
        <v>178</v>
      </c>
      <c r="G24">
        <v>8000</v>
      </c>
      <c r="H24" s="30" t="s">
        <v>174</v>
      </c>
      <c r="I24" s="30" t="s">
        <v>39</v>
      </c>
      <c r="J24" s="30" t="s">
        <v>190</v>
      </c>
    </row>
    <row r="25" spans="1:11" x14ac:dyDescent="0.25">
      <c r="A25" s="30" t="s">
        <v>211</v>
      </c>
      <c r="B25" s="31">
        <v>45416</v>
      </c>
      <c r="C25" s="31">
        <v>45424</v>
      </c>
      <c r="D25" s="30" t="s">
        <v>184</v>
      </c>
      <c r="E25" s="30" t="s">
        <v>166</v>
      </c>
      <c r="F25" s="30" t="s">
        <v>196</v>
      </c>
      <c r="G25">
        <v>25000</v>
      </c>
      <c r="H25" s="30" t="s">
        <v>174</v>
      </c>
      <c r="I25" s="30" t="s">
        <v>24</v>
      </c>
      <c r="J25" s="30" t="s">
        <v>169</v>
      </c>
      <c r="K25">
        <v>8</v>
      </c>
    </row>
    <row r="26" spans="1:11" x14ac:dyDescent="0.25">
      <c r="A26" s="30" t="s">
        <v>212</v>
      </c>
      <c r="B26" s="31">
        <v>45408</v>
      </c>
      <c r="C26" s="31">
        <v>45413</v>
      </c>
      <c r="D26" s="30" t="s">
        <v>171</v>
      </c>
      <c r="E26" s="30" t="s">
        <v>193</v>
      </c>
      <c r="F26" s="30" t="s">
        <v>167</v>
      </c>
      <c r="G26">
        <v>120000</v>
      </c>
      <c r="H26" s="30" t="s">
        <v>174</v>
      </c>
      <c r="I26" s="30" t="s">
        <v>42</v>
      </c>
      <c r="J26" s="30" t="s">
        <v>186</v>
      </c>
      <c r="K26">
        <v>5</v>
      </c>
    </row>
    <row r="27" spans="1:11" x14ac:dyDescent="0.25">
      <c r="A27" s="30" t="s">
        <v>213</v>
      </c>
      <c r="B27" s="31">
        <v>45306</v>
      </c>
      <c r="C27" s="31">
        <v>45316</v>
      </c>
      <c r="D27" s="30" t="s">
        <v>184</v>
      </c>
      <c r="E27" s="30" t="s">
        <v>177</v>
      </c>
      <c r="F27" s="30" t="s">
        <v>214</v>
      </c>
      <c r="G27">
        <v>5000</v>
      </c>
      <c r="H27" s="30" t="s">
        <v>174</v>
      </c>
      <c r="I27" s="30" t="s">
        <v>33</v>
      </c>
      <c r="J27" s="30" t="s">
        <v>182</v>
      </c>
      <c r="K27">
        <v>10</v>
      </c>
    </row>
    <row r="28" spans="1:11" x14ac:dyDescent="0.25">
      <c r="A28" s="30" t="s">
        <v>215</v>
      </c>
      <c r="B28" s="31">
        <v>45332</v>
      </c>
      <c r="C28" s="31">
        <v>45333</v>
      </c>
      <c r="D28" s="30" t="s">
        <v>184</v>
      </c>
      <c r="E28" s="30" t="s">
        <v>181</v>
      </c>
      <c r="F28" s="30" t="s">
        <v>178</v>
      </c>
      <c r="G28">
        <v>8000</v>
      </c>
      <c r="H28" s="30" t="s">
        <v>168</v>
      </c>
      <c r="I28" s="30" t="s">
        <v>39</v>
      </c>
      <c r="J28" s="30" t="s">
        <v>190</v>
      </c>
      <c r="K28">
        <v>1</v>
      </c>
    </row>
    <row r="29" spans="1:11" x14ac:dyDescent="0.25">
      <c r="A29" s="30" t="s">
        <v>216</v>
      </c>
      <c r="B29" s="31">
        <v>45322</v>
      </c>
      <c r="C29" s="31">
        <v>45337</v>
      </c>
      <c r="D29" s="30" t="s">
        <v>184</v>
      </c>
      <c r="E29" s="30" t="s">
        <v>181</v>
      </c>
      <c r="F29" s="30" t="s">
        <v>178</v>
      </c>
      <c r="G29">
        <v>25000</v>
      </c>
      <c r="H29" s="30" t="s">
        <v>174</v>
      </c>
      <c r="I29" s="30" t="s">
        <v>33</v>
      </c>
      <c r="J29" s="30" t="s">
        <v>182</v>
      </c>
      <c r="K29">
        <v>15</v>
      </c>
    </row>
    <row r="30" spans="1:11" x14ac:dyDescent="0.25">
      <c r="A30" s="30" t="s">
        <v>257</v>
      </c>
      <c r="B30" s="31">
        <v>45425</v>
      </c>
      <c r="C30" s="31">
        <v>45431</v>
      </c>
      <c r="D30" s="30" t="s">
        <v>176</v>
      </c>
      <c r="E30" s="30" t="s">
        <v>166</v>
      </c>
      <c r="F30" s="30" t="s">
        <v>199</v>
      </c>
      <c r="G30">
        <v>50000</v>
      </c>
      <c r="H30" s="30" t="s">
        <v>174</v>
      </c>
      <c r="I30" s="30" t="s">
        <v>39</v>
      </c>
      <c r="J30" s="30" t="s">
        <v>169</v>
      </c>
      <c r="K30">
        <v>6</v>
      </c>
    </row>
    <row r="31" spans="1:11" x14ac:dyDescent="0.25">
      <c r="A31" s="30" t="s">
        <v>217</v>
      </c>
      <c r="B31" s="31">
        <v>45310</v>
      </c>
      <c r="C31" s="31">
        <v>45319</v>
      </c>
      <c r="D31" s="30" t="s">
        <v>165</v>
      </c>
      <c r="E31" s="30" t="s">
        <v>172</v>
      </c>
      <c r="F31" s="30" t="s">
        <v>178</v>
      </c>
      <c r="G31">
        <v>25000</v>
      </c>
      <c r="H31" s="30" t="s">
        <v>174</v>
      </c>
      <c r="I31" s="30" t="s">
        <v>42</v>
      </c>
      <c r="J31" s="30" t="s">
        <v>169</v>
      </c>
      <c r="K31">
        <v>9</v>
      </c>
    </row>
    <row r="32" spans="1:11" x14ac:dyDescent="0.25">
      <c r="A32" s="30" t="s">
        <v>218</v>
      </c>
      <c r="B32" s="31">
        <v>45332</v>
      </c>
      <c r="C32" s="31">
        <v>45340</v>
      </c>
      <c r="D32" s="30" t="s">
        <v>171</v>
      </c>
      <c r="E32" s="30" t="s">
        <v>177</v>
      </c>
      <c r="F32" s="30" t="s">
        <v>202</v>
      </c>
      <c r="G32">
        <v>50000</v>
      </c>
      <c r="H32" s="30" t="s">
        <v>174</v>
      </c>
      <c r="I32" s="30" t="s">
        <v>10</v>
      </c>
      <c r="J32" s="30" t="s">
        <v>186</v>
      </c>
      <c r="K32">
        <v>8</v>
      </c>
    </row>
    <row r="33" spans="1:11" x14ac:dyDescent="0.25">
      <c r="A33" s="30" t="s">
        <v>219</v>
      </c>
      <c r="B33" s="31">
        <v>45379</v>
      </c>
      <c r="C33" s="31">
        <v>45383</v>
      </c>
      <c r="D33" s="30" t="s">
        <v>176</v>
      </c>
      <c r="E33" s="30" t="s">
        <v>177</v>
      </c>
      <c r="F33" s="30" t="s">
        <v>178</v>
      </c>
      <c r="G33">
        <v>50000</v>
      </c>
      <c r="H33" s="30" t="s">
        <v>168</v>
      </c>
      <c r="I33" s="30" t="s">
        <v>24</v>
      </c>
      <c r="J33" s="30" t="s">
        <v>169</v>
      </c>
      <c r="K33">
        <v>4</v>
      </c>
    </row>
    <row r="34" spans="1:11" x14ac:dyDescent="0.25">
      <c r="A34" s="30" t="s">
        <v>220</v>
      </c>
      <c r="B34" s="31">
        <v>45294</v>
      </c>
      <c r="C34" s="31">
        <v>45296</v>
      </c>
      <c r="D34" s="30" t="s">
        <v>165</v>
      </c>
      <c r="E34" s="30" t="s">
        <v>181</v>
      </c>
      <c r="F34" s="30" t="s">
        <v>173</v>
      </c>
      <c r="G34">
        <v>8000</v>
      </c>
      <c r="H34" s="30" t="s">
        <v>174</v>
      </c>
      <c r="I34" s="30" t="s">
        <v>33</v>
      </c>
      <c r="J34" s="30" t="s">
        <v>182</v>
      </c>
      <c r="K34">
        <v>2</v>
      </c>
    </row>
    <row r="35" spans="1:11" x14ac:dyDescent="0.25">
      <c r="A35" s="30" t="s">
        <v>258</v>
      </c>
      <c r="B35" s="31">
        <v>45329</v>
      </c>
      <c r="C35" s="31"/>
      <c r="D35" s="30" t="s">
        <v>176</v>
      </c>
      <c r="E35" s="30" t="s">
        <v>177</v>
      </c>
      <c r="F35" s="30" t="s">
        <v>188</v>
      </c>
      <c r="G35">
        <v>12000</v>
      </c>
      <c r="H35" s="30" t="s">
        <v>174</v>
      </c>
      <c r="I35" s="30" t="s">
        <v>39</v>
      </c>
      <c r="J35" s="30" t="s">
        <v>169</v>
      </c>
    </row>
    <row r="36" spans="1:11" x14ac:dyDescent="0.25">
      <c r="A36" s="30" t="s">
        <v>259</v>
      </c>
      <c r="B36" s="31">
        <v>45318</v>
      </c>
      <c r="C36" s="31">
        <v>45324</v>
      </c>
      <c r="D36" s="30" t="s">
        <v>165</v>
      </c>
      <c r="E36" s="30" t="s">
        <v>166</v>
      </c>
      <c r="F36" s="30" t="s">
        <v>167</v>
      </c>
      <c r="G36">
        <v>120000</v>
      </c>
      <c r="H36" s="30" t="s">
        <v>174</v>
      </c>
      <c r="I36" s="30" t="s">
        <v>24</v>
      </c>
      <c r="J36" s="30" t="s">
        <v>204</v>
      </c>
      <c r="K36">
        <v>6</v>
      </c>
    </row>
    <row r="37" spans="1:11" x14ac:dyDescent="0.25">
      <c r="A37" s="30" t="s">
        <v>221</v>
      </c>
      <c r="B37" s="31">
        <v>45337</v>
      </c>
      <c r="C37" s="31">
        <v>45349</v>
      </c>
      <c r="D37" s="30" t="s">
        <v>180</v>
      </c>
      <c r="E37" s="30" t="s">
        <v>166</v>
      </c>
      <c r="F37" s="30" t="s">
        <v>199</v>
      </c>
      <c r="G37">
        <v>80000</v>
      </c>
      <c r="H37" s="30" t="s">
        <v>174</v>
      </c>
      <c r="I37" s="30" t="s">
        <v>10</v>
      </c>
      <c r="J37" s="30" t="s">
        <v>190</v>
      </c>
      <c r="K37">
        <v>12</v>
      </c>
    </row>
    <row r="38" spans="1:11" x14ac:dyDescent="0.25">
      <c r="A38" s="30" t="s">
        <v>260</v>
      </c>
      <c r="B38" s="31">
        <v>45301</v>
      </c>
      <c r="C38" s="31">
        <v>45315</v>
      </c>
      <c r="D38" s="30" t="s">
        <v>180</v>
      </c>
      <c r="E38" s="30" t="s">
        <v>172</v>
      </c>
      <c r="F38" s="30" t="s">
        <v>199</v>
      </c>
      <c r="G38">
        <v>200000</v>
      </c>
      <c r="H38" s="30" t="s">
        <v>174</v>
      </c>
      <c r="I38" s="30" t="s">
        <v>39</v>
      </c>
      <c r="J38" s="30" t="s">
        <v>204</v>
      </c>
      <c r="K38">
        <v>14</v>
      </c>
    </row>
    <row r="39" spans="1:11" x14ac:dyDescent="0.25">
      <c r="A39" s="30" t="s">
        <v>222</v>
      </c>
      <c r="B39" s="31">
        <v>45460</v>
      </c>
      <c r="C39" s="31">
        <v>45464</v>
      </c>
      <c r="D39" s="30" t="s">
        <v>184</v>
      </c>
      <c r="E39" s="30" t="s">
        <v>172</v>
      </c>
      <c r="F39" s="30" t="s">
        <v>188</v>
      </c>
      <c r="G39">
        <v>120000</v>
      </c>
      <c r="H39" s="30" t="s">
        <v>168</v>
      </c>
      <c r="I39" s="30" t="s">
        <v>33</v>
      </c>
      <c r="J39" s="30" t="s">
        <v>190</v>
      </c>
      <c r="K39">
        <v>4</v>
      </c>
    </row>
    <row r="40" spans="1:11" x14ac:dyDescent="0.25">
      <c r="A40" s="30" t="s">
        <v>223</v>
      </c>
      <c r="B40" s="31">
        <v>45402</v>
      </c>
      <c r="C40" s="31">
        <v>45404</v>
      </c>
      <c r="D40" s="30" t="s">
        <v>184</v>
      </c>
      <c r="E40" s="30" t="s">
        <v>172</v>
      </c>
      <c r="F40" s="30" t="s">
        <v>202</v>
      </c>
      <c r="G40">
        <v>80000</v>
      </c>
      <c r="H40" s="30" t="s">
        <v>174</v>
      </c>
      <c r="I40" s="30" t="s">
        <v>24</v>
      </c>
      <c r="J40" s="30" t="s">
        <v>169</v>
      </c>
      <c r="K40">
        <v>2</v>
      </c>
    </row>
    <row r="41" spans="1:11" x14ac:dyDescent="0.25">
      <c r="A41" s="30" t="s">
        <v>261</v>
      </c>
      <c r="B41" s="31">
        <v>45395</v>
      </c>
      <c r="C41" s="31">
        <v>45407</v>
      </c>
      <c r="D41" s="30" t="s">
        <v>165</v>
      </c>
      <c r="E41" s="30" t="s">
        <v>193</v>
      </c>
      <c r="F41" s="30" t="s">
        <v>196</v>
      </c>
      <c r="G41">
        <v>50000</v>
      </c>
      <c r="H41" s="30" t="s">
        <v>168</v>
      </c>
      <c r="I41" s="30" t="s">
        <v>39</v>
      </c>
      <c r="J41" s="30" t="s">
        <v>182</v>
      </c>
      <c r="K41">
        <v>12</v>
      </c>
    </row>
    <row r="42" spans="1:11" x14ac:dyDescent="0.25">
      <c r="A42" s="30" t="s">
        <v>224</v>
      </c>
      <c r="B42" s="31">
        <v>45437</v>
      </c>
      <c r="C42" s="31">
        <v>45442</v>
      </c>
      <c r="D42" s="30" t="s">
        <v>184</v>
      </c>
      <c r="E42" s="30" t="s">
        <v>172</v>
      </c>
      <c r="F42" s="30" t="s">
        <v>199</v>
      </c>
      <c r="G42">
        <v>120000</v>
      </c>
      <c r="H42" s="30" t="s">
        <v>174</v>
      </c>
      <c r="I42" s="30" t="s">
        <v>24</v>
      </c>
      <c r="J42" s="30" t="s">
        <v>182</v>
      </c>
      <c r="K42">
        <v>5</v>
      </c>
    </row>
    <row r="43" spans="1:11" x14ac:dyDescent="0.25">
      <c r="A43" s="30" t="s">
        <v>225</v>
      </c>
      <c r="B43" s="31">
        <v>45447</v>
      </c>
      <c r="C43" s="31">
        <v>45458</v>
      </c>
      <c r="D43" s="30" t="s">
        <v>180</v>
      </c>
      <c r="E43" s="30" t="s">
        <v>166</v>
      </c>
      <c r="F43" s="30" t="s">
        <v>202</v>
      </c>
      <c r="G43">
        <v>80000</v>
      </c>
      <c r="H43" s="30" t="s">
        <v>174</v>
      </c>
      <c r="I43" s="30" t="s">
        <v>39</v>
      </c>
      <c r="J43" s="30" t="s">
        <v>169</v>
      </c>
      <c r="K43">
        <v>11</v>
      </c>
    </row>
    <row r="44" spans="1:11" x14ac:dyDescent="0.25">
      <c r="A44" s="30" t="s">
        <v>262</v>
      </c>
      <c r="B44" s="31">
        <v>45313</v>
      </c>
      <c r="C44" s="31"/>
      <c r="D44" s="30" t="s">
        <v>165</v>
      </c>
      <c r="E44" s="30" t="s">
        <v>172</v>
      </c>
      <c r="F44" s="30" t="s">
        <v>185</v>
      </c>
      <c r="G44">
        <v>80000</v>
      </c>
      <c r="H44" s="30" t="s">
        <v>174</v>
      </c>
      <c r="I44" s="30" t="s">
        <v>39</v>
      </c>
      <c r="J44" s="30" t="s">
        <v>204</v>
      </c>
    </row>
    <row r="45" spans="1:11" x14ac:dyDescent="0.25">
      <c r="A45" s="30" t="s">
        <v>226</v>
      </c>
      <c r="B45" s="31">
        <v>45303</v>
      </c>
      <c r="C45" s="31">
        <v>45307</v>
      </c>
      <c r="D45" s="30" t="s">
        <v>184</v>
      </c>
      <c r="E45" s="30" t="s">
        <v>193</v>
      </c>
      <c r="F45" s="30" t="s">
        <v>196</v>
      </c>
      <c r="G45">
        <v>200000</v>
      </c>
      <c r="H45" s="30" t="s">
        <v>168</v>
      </c>
      <c r="I45" s="30" t="s">
        <v>33</v>
      </c>
      <c r="J45" s="30" t="s">
        <v>186</v>
      </c>
      <c r="K45">
        <v>4</v>
      </c>
    </row>
    <row r="46" spans="1:11" x14ac:dyDescent="0.25">
      <c r="A46" s="30" t="s">
        <v>227</v>
      </c>
      <c r="B46" s="31">
        <v>45470</v>
      </c>
      <c r="C46" s="31">
        <v>45477</v>
      </c>
      <c r="D46" s="30" t="s">
        <v>165</v>
      </c>
      <c r="E46" s="30" t="s">
        <v>177</v>
      </c>
      <c r="F46" s="30" t="s">
        <v>178</v>
      </c>
      <c r="G46">
        <v>200000</v>
      </c>
      <c r="H46" s="30" t="s">
        <v>174</v>
      </c>
      <c r="I46" s="30" t="s">
        <v>39</v>
      </c>
      <c r="J46" s="30" t="s">
        <v>186</v>
      </c>
      <c r="K46">
        <v>7</v>
      </c>
    </row>
    <row r="47" spans="1:11" x14ac:dyDescent="0.25">
      <c r="A47" s="30" t="s">
        <v>263</v>
      </c>
      <c r="B47" s="31">
        <v>45470</v>
      </c>
      <c r="C47" s="31"/>
      <c r="D47" s="30" t="s">
        <v>165</v>
      </c>
      <c r="E47" s="30" t="s">
        <v>177</v>
      </c>
      <c r="F47" s="30" t="s">
        <v>194</v>
      </c>
      <c r="G47">
        <v>200000</v>
      </c>
      <c r="H47" s="30" t="s">
        <v>174</v>
      </c>
      <c r="I47" s="30" t="s">
        <v>24</v>
      </c>
      <c r="J47" s="30" t="s">
        <v>169</v>
      </c>
    </row>
    <row r="48" spans="1:11" x14ac:dyDescent="0.25">
      <c r="A48" s="30" t="s">
        <v>228</v>
      </c>
      <c r="B48" s="31">
        <v>45427</v>
      </c>
      <c r="C48" s="31">
        <v>45436</v>
      </c>
      <c r="D48" s="30" t="s">
        <v>180</v>
      </c>
      <c r="E48" s="30" t="s">
        <v>181</v>
      </c>
      <c r="F48" s="30" t="s">
        <v>202</v>
      </c>
      <c r="G48">
        <v>80000</v>
      </c>
      <c r="H48" s="30" t="s">
        <v>174</v>
      </c>
      <c r="I48" s="30" t="s">
        <v>33</v>
      </c>
      <c r="J48" s="30" t="s">
        <v>190</v>
      </c>
      <c r="K48">
        <v>9</v>
      </c>
    </row>
    <row r="49" spans="1:11" x14ac:dyDescent="0.25">
      <c r="A49" s="30" t="s">
        <v>229</v>
      </c>
      <c r="B49" s="31">
        <v>45332</v>
      </c>
      <c r="C49" s="31">
        <v>45344</v>
      </c>
      <c r="D49" s="30" t="s">
        <v>165</v>
      </c>
      <c r="E49" s="30" t="s">
        <v>172</v>
      </c>
      <c r="F49" s="30" t="s">
        <v>202</v>
      </c>
      <c r="G49">
        <v>200000</v>
      </c>
      <c r="H49" s="30" t="s">
        <v>174</v>
      </c>
      <c r="I49" s="30" t="s">
        <v>39</v>
      </c>
      <c r="J49" s="30" t="s">
        <v>169</v>
      </c>
      <c r="K49">
        <v>12</v>
      </c>
    </row>
    <row r="50" spans="1:11" x14ac:dyDescent="0.25">
      <c r="A50" s="30" t="s">
        <v>230</v>
      </c>
      <c r="B50" s="31">
        <v>45404</v>
      </c>
      <c r="C50" s="31">
        <v>45406</v>
      </c>
      <c r="D50" s="30" t="s">
        <v>176</v>
      </c>
      <c r="E50" s="30" t="s">
        <v>172</v>
      </c>
      <c r="F50" s="30" t="s">
        <v>202</v>
      </c>
      <c r="G50">
        <v>50000</v>
      </c>
      <c r="H50" s="30" t="s">
        <v>174</v>
      </c>
      <c r="I50" s="30" t="s">
        <v>39</v>
      </c>
      <c r="J50" s="30" t="s">
        <v>186</v>
      </c>
      <c r="K50">
        <v>2</v>
      </c>
    </row>
    <row r="51" spans="1:11" x14ac:dyDescent="0.25">
      <c r="A51" s="30" t="s">
        <v>231</v>
      </c>
      <c r="B51" s="31">
        <v>45351</v>
      </c>
      <c r="C51" s="31">
        <v>45358</v>
      </c>
      <c r="D51" s="30" t="s">
        <v>184</v>
      </c>
      <c r="E51" s="30" t="s">
        <v>193</v>
      </c>
      <c r="F51" s="30" t="s">
        <v>196</v>
      </c>
      <c r="G51">
        <v>12000</v>
      </c>
      <c r="H51" s="30" t="s">
        <v>174</v>
      </c>
      <c r="I51" s="30" t="s">
        <v>33</v>
      </c>
      <c r="J51" s="30" t="s">
        <v>190</v>
      </c>
      <c r="K51">
        <v>7</v>
      </c>
    </row>
    <row r="52" spans="1:11" x14ac:dyDescent="0.25">
      <c r="A52" s="30" t="s">
        <v>232</v>
      </c>
      <c r="B52" s="31">
        <v>45348</v>
      </c>
      <c r="C52" s="31">
        <v>45353</v>
      </c>
      <c r="D52" s="30" t="s">
        <v>180</v>
      </c>
      <c r="E52" s="30" t="s">
        <v>172</v>
      </c>
      <c r="F52" s="30" t="s">
        <v>196</v>
      </c>
      <c r="G52">
        <v>120000</v>
      </c>
      <c r="H52" s="30" t="s">
        <v>168</v>
      </c>
      <c r="I52" s="30" t="s">
        <v>39</v>
      </c>
      <c r="J52" s="30" t="s">
        <v>190</v>
      </c>
      <c r="K52">
        <v>5</v>
      </c>
    </row>
    <row r="53" spans="1:11" x14ac:dyDescent="0.25">
      <c r="A53" s="30" t="s">
        <v>233</v>
      </c>
      <c r="B53" s="31">
        <v>45324</v>
      </c>
      <c r="C53" s="31">
        <v>45334</v>
      </c>
      <c r="D53" s="30" t="s">
        <v>171</v>
      </c>
      <c r="E53" s="30" t="s">
        <v>181</v>
      </c>
      <c r="F53" s="30" t="s">
        <v>173</v>
      </c>
      <c r="G53">
        <v>5000</v>
      </c>
      <c r="H53" s="30" t="s">
        <v>174</v>
      </c>
      <c r="I53" s="30" t="s">
        <v>24</v>
      </c>
      <c r="J53" s="30" t="s">
        <v>186</v>
      </c>
      <c r="K53">
        <v>10</v>
      </c>
    </row>
    <row r="54" spans="1:11" x14ac:dyDescent="0.25">
      <c r="A54" s="30" t="s">
        <v>264</v>
      </c>
      <c r="B54" s="31">
        <v>45410</v>
      </c>
      <c r="C54" s="31">
        <v>45413</v>
      </c>
      <c r="D54" s="30" t="s">
        <v>176</v>
      </c>
      <c r="E54" s="30" t="s">
        <v>166</v>
      </c>
      <c r="F54" s="30" t="s">
        <v>194</v>
      </c>
      <c r="G54">
        <v>5000</v>
      </c>
      <c r="H54" s="30" t="s">
        <v>174</v>
      </c>
      <c r="I54" s="30" t="s">
        <v>42</v>
      </c>
      <c r="J54" s="30" t="s">
        <v>190</v>
      </c>
      <c r="K54">
        <v>3</v>
      </c>
    </row>
    <row r="55" spans="1:11" x14ac:dyDescent="0.25">
      <c r="A55" s="30" t="s">
        <v>265</v>
      </c>
      <c r="B55" s="31">
        <v>45363</v>
      </c>
      <c r="C55" s="31">
        <v>45376</v>
      </c>
      <c r="D55" s="30" t="s">
        <v>184</v>
      </c>
      <c r="E55" s="30" t="s">
        <v>193</v>
      </c>
      <c r="F55" s="30" t="s">
        <v>173</v>
      </c>
      <c r="G55">
        <v>120000</v>
      </c>
      <c r="H55" s="30" t="s">
        <v>168</v>
      </c>
      <c r="I55" s="30" t="s">
        <v>33</v>
      </c>
      <c r="J55" s="30" t="s">
        <v>204</v>
      </c>
      <c r="K55">
        <v>13</v>
      </c>
    </row>
    <row r="56" spans="1:11" x14ac:dyDescent="0.25">
      <c r="A56" s="30" t="s">
        <v>234</v>
      </c>
      <c r="B56" s="31">
        <v>45381</v>
      </c>
      <c r="C56" s="31">
        <v>45385</v>
      </c>
      <c r="D56" s="30" t="s">
        <v>184</v>
      </c>
      <c r="E56" s="30" t="s">
        <v>177</v>
      </c>
      <c r="F56" s="30" t="s">
        <v>185</v>
      </c>
      <c r="G56">
        <v>8000</v>
      </c>
      <c r="H56" s="30" t="s">
        <v>174</v>
      </c>
      <c r="I56" s="30" t="s">
        <v>10</v>
      </c>
      <c r="J56" s="30" t="s">
        <v>182</v>
      </c>
      <c r="K56">
        <v>4</v>
      </c>
    </row>
    <row r="57" spans="1:11" x14ac:dyDescent="0.25">
      <c r="A57" s="30" t="s">
        <v>235</v>
      </c>
      <c r="B57" s="31">
        <v>45331</v>
      </c>
      <c r="C57" s="31">
        <v>45335</v>
      </c>
      <c r="D57" s="30" t="s">
        <v>184</v>
      </c>
      <c r="E57" s="30" t="s">
        <v>181</v>
      </c>
      <c r="F57" s="30" t="s">
        <v>185</v>
      </c>
      <c r="G57">
        <v>12000</v>
      </c>
      <c r="H57" s="30" t="s">
        <v>174</v>
      </c>
      <c r="I57" s="30" t="s">
        <v>42</v>
      </c>
      <c r="J57" s="30" t="s">
        <v>169</v>
      </c>
      <c r="K57">
        <v>4</v>
      </c>
    </row>
    <row r="58" spans="1:11" x14ac:dyDescent="0.25">
      <c r="A58" s="30" t="s">
        <v>236</v>
      </c>
      <c r="B58" s="31">
        <v>45439</v>
      </c>
      <c r="C58" s="31">
        <v>45450</v>
      </c>
      <c r="D58" s="30" t="s">
        <v>165</v>
      </c>
      <c r="E58" s="30" t="s">
        <v>177</v>
      </c>
      <c r="F58" s="30" t="s">
        <v>214</v>
      </c>
      <c r="G58">
        <v>120000</v>
      </c>
      <c r="H58" s="30" t="s">
        <v>168</v>
      </c>
      <c r="I58" s="30" t="s">
        <v>39</v>
      </c>
      <c r="J58" s="30" t="s">
        <v>204</v>
      </c>
      <c r="K58">
        <v>11</v>
      </c>
    </row>
    <row r="59" spans="1:11" x14ac:dyDescent="0.25">
      <c r="A59" s="30" t="s">
        <v>237</v>
      </c>
      <c r="B59" s="31">
        <v>45470</v>
      </c>
      <c r="C59" s="31">
        <v>45483</v>
      </c>
      <c r="D59" s="30" t="s">
        <v>171</v>
      </c>
      <c r="E59" s="30" t="s">
        <v>177</v>
      </c>
      <c r="F59" s="30" t="s">
        <v>214</v>
      </c>
      <c r="G59">
        <v>50000</v>
      </c>
      <c r="H59" s="30" t="s">
        <v>174</v>
      </c>
      <c r="I59" s="30" t="s">
        <v>42</v>
      </c>
      <c r="J59" s="30" t="s">
        <v>182</v>
      </c>
      <c r="K59">
        <v>13</v>
      </c>
    </row>
    <row r="60" spans="1:11" x14ac:dyDescent="0.25">
      <c r="A60" s="30" t="s">
        <v>266</v>
      </c>
      <c r="B60" s="31">
        <v>45401</v>
      </c>
      <c r="C60" s="31"/>
      <c r="D60" s="30" t="s">
        <v>176</v>
      </c>
      <c r="E60" s="30" t="s">
        <v>177</v>
      </c>
      <c r="F60" s="30" t="s">
        <v>196</v>
      </c>
      <c r="G60">
        <v>80000</v>
      </c>
      <c r="H60" s="30" t="s">
        <v>174</v>
      </c>
      <c r="I60" s="30" t="s">
        <v>10</v>
      </c>
      <c r="J60" s="30" t="s">
        <v>190</v>
      </c>
    </row>
    <row r="61" spans="1:11" x14ac:dyDescent="0.25">
      <c r="A61" s="30" t="s">
        <v>238</v>
      </c>
      <c r="B61" s="31">
        <v>45384</v>
      </c>
      <c r="C61" s="31">
        <v>45395</v>
      </c>
      <c r="D61" s="30" t="s">
        <v>180</v>
      </c>
      <c r="E61" s="30" t="s">
        <v>166</v>
      </c>
      <c r="F61" s="30" t="s">
        <v>202</v>
      </c>
      <c r="G61">
        <v>200000</v>
      </c>
      <c r="H61" s="30" t="s">
        <v>168</v>
      </c>
      <c r="I61" s="30" t="s">
        <v>42</v>
      </c>
      <c r="J61" s="30" t="s">
        <v>182</v>
      </c>
      <c r="K61">
        <v>11</v>
      </c>
    </row>
    <row r="62" spans="1:11" x14ac:dyDescent="0.25">
      <c r="A62" s="30" t="s">
        <v>267</v>
      </c>
      <c r="B62" s="31">
        <v>45429</v>
      </c>
      <c r="C62" s="31">
        <v>45442</v>
      </c>
      <c r="D62" s="30" t="s">
        <v>171</v>
      </c>
      <c r="E62" s="30" t="s">
        <v>172</v>
      </c>
      <c r="F62" s="30" t="s">
        <v>188</v>
      </c>
      <c r="G62">
        <v>200000</v>
      </c>
      <c r="H62" s="30" t="s">
        <v>174</v>
      </c>
      <c r="I62" s="30" t="s">
        <v>10</v>
      </c>
      <c r="J62" s="30" t="s">
        <v>169</v>
      </c>
      <c r="K62">
        <v>13</v>
      </c>
    </row>
    <row r="63" spans="1:11" x14ac:dyDescent="0.25">
      <c r="A63" s="30" t="s">
        <v>239</v>
      </c>
      <c r="B63" s="31">
        <v>45407</v>
      </c>
      <c r="C63" s="31">
        <v>45411</v>
      </c>
      <c r="D63" s="30" t="s">
        <v>180</v>
      </c>
      <c r="E63" s="30" t="s">
        <v>172</v>
      </c>
      <c r="F63" s="30" t="s">
        <v>173</v>
      </c>
      <c r="G63">
        <v>200000</v>
      </c>
      <c r="H63" s="30" t="s">
        <v>174</v>
      </c>
      <c r="I63" s="30" t="s">
        <v>42</v>
      </c>
      <c r="J63" s="30" t="s">
        <v>186</v>
      </c>
      <c r="K63">
        <v>4</v>
      </c>
    </row>
    <row r="64" spans="1:11" x14ac:dyDescent="0.25">
      <c r="A64" s="30" t="s">
        <v>240</v>
      </c>
      <c r="B64" s="31">
        <v>45416</v>
      </c>
      <c r="C64" s="31">
        <v>45420</v>
      </c>
      <c r="D64" s="30" t="s">
        <v>176</v>
      </c>
      <c r="E64" s="30" t="s">
        <v>172</v>
      </c>
      <c r="F64" s="30" t="s">
        <v>214</v>
      </c>
      <c r="G64">
        <v>80000</v>
      </c>
      <c r="H64" s="30" t="s">
        <v>168</v>
      </c>
      <c r="I64" s="30" t="s">
        <v>42</v>
      </c>
      <c r="J64" s="30" t="s">
        <v>182</v>
      </c>
      <c r="K64">
        <v>4</v>
      </c>
    </row>
    <row r="65" spans="1:11" x14ac:dyDescent="0.25">
      <c r="A65" s="30" t="s">
        <v>268</v>
      </c>
      <c r="B65" s="31">
        <v>45294</v>
      </c>
      <c r="C65" s="31"/>
      <c r="D65" s="30" t="s">
        <v>180</v>
      </c>
      <c r="E65" s="30" t="s">
        <v>193</v>
      </c>
      <c r="F65" s="30" t="s">
        <v>202</v>
      </c>
      <c r="G65">
        <v>25000</v>
      </c>
      <c r="H65" s="30" t="s">
        <v>174</v>
      </c>
      <c r="I65" s="30" t="s">
        <v>24</v>
      </c>
      <c r="J65" s="30" t="s">
        <v>169</v>
      </c>
    </row>
    <row r="66" spans="1:11" x14ac:dyDescent="0.25">
      <c r="A66" s="30" t="s">
        <v>269</v>
      </c>
      <c r="B66" s="31">
        <v>45417</v>
      </c>
      <c r="C66" s="31"/>
      <c r="D66" s="30" t="s">
        <v>165</v>
      </c>
      <c r="E66" s="30" t="s">
        <v>193</v>
      </c>
      <c r="F66" s="30" t="s">
        <v>185</v>
      </c>
      <c r="G66">
        <v>5000</v>
      </c>
      <c r="H66" s="30" t="s">
        <v>174</v>
      </c>
      <c r="I66" s="30" t="s">
        <v>33</v>
      </c>
      <c r="J66" s="30" t="s">
        <v>169</v>
      </c>
    </row>
    <row r="67" spans="1:11" x14ac:dyDescent="0.25">
      <c r="A67" s="30" t="s">
        <v>241</v>
      </c>
      <c r="B67" s="31">
        <v>45413</v>
      </c>
      <c r="C67" s="31">
        <v>45422</v>
      </c>
      <c r="D67" s="30" t="s">
        <v>171</v>
      </c>
      <c r="E67" s="30" t="s">
        <v>172</v>
      </c>
      <c r="F67" s="30" t="s">
        <v>188</v>
      </c>
      <c r="G67">
        <v>80000</v>
      </c>
      <c r="H67" s="30" t="s">
        <v>168</v>
      </c>
      <c r="I67" s="30" t="s">
        <v>24</v>
      </c>
      <c r="J67" s="30" t="s">
        <v>169</v>
      </c>
      <c r="K67">
        <v>9</v>
      </c>
    </row>
    <row r="68" spans="1:11" x14ac:dyDescent="0.25">
      <c r="A68" s="30" t="s">
        <v>242</v>
      </c>
      <c r="B68" s="31">
        <v>45370</v>
      </c>
      <c r="C68" s="31">
        <v>45375</v>
      </c>
      <c r="D68" s="30" t="s">
        <v>165</v>
      </c>
      <c r="E68" s="30" t="s">
        <v>172</v>
      </c>
      <c r="F68" s="30" t="s">
        <v>178</v>
      </c>
      <c r="G68">
        <v>25000</v>
      </c>
      <c r="H68" s="30" t="s">
        <v>168</v>
      </c>
      <c r="I68" s="30" t="s">
        <v>33</v>
      </c>
      <c r="J68" s="30" t="s">
        <v>169</v>
      </c>
      <c r="K68">
        <v>5</v>
      </c>
    </row>
    <row r="69" spans="1:11" x14ac:dyDescent="0.25">
      <c r="A69" s="30" t="s">
        <v>243</v>
      </c>
      <c r="B69" s="31">
        <v>45341</v>
      </c>
      <c r="C69" s="31">
        <v>45346</v>
      </c>
      <c r="D69" s="30" t="s">
        <v>176</v>
      </c>
      <c r="E69" s="30" t="s">
        <v>177</v>
      </c>
      <c r="F69" s="30" t="s">
        <v>202</v>
      </c>
      <c r="G69">
        <v>25000</v>
      </c>
      <c r="H69" s="30" t="s">
        <v>174</v>
      </c>
      <c r="I69" s="30" t="s">
        <v>42</v>
      </c>
      <c r="J69" s="30" t="s">
        <v>204</v>
      </c>
      <c r="K69">
        <v>5</v>
      </c>
    </row>
    <row r="70" spans="1:11" x14ac:dyDescent="0.25">
      <c r="A70" s="30" t="s">
        <v>244</v>
      </c>
      <c r="B70" s="31">
        <v>45305</v>
      </c>
      <c r="C70" s="31">
        <v>45314</v>
      </c>
      <c r="D70" s="30" t="s">
        <v>165</v>
      </c>
      <c r="E70" s="30" t="s">
        <v>193</v>
      </c>
      <c r="F70" s="30" t="s">
        <v>178</v>
      </c>
      <c r="G70">
        <v>50000</v>
      </c>
      <c r="H70" s="30" t="s">
        <v>174</v>
      </c>
      <c r="I70" s="30" t="s">
        <v>33</v>
      </c>
      <c r="J70" s="30" t="s">
        <v>169</v>
      </c>
      <c r="K70">
        <v>9</v>
      </c>
    </row>
    <row r="71" spans="1:11" x14ac:dyDescent="0.25">
      <c r="A71" s="30" t="s">
        <v>270</v>
      </c>
      <c r="B71" s="31">
        <v>45412</v>
      </c>
      <c r="C71" s="31">
        <v>45420</v>
      </c>
      <c r="D71" s="30" t="s">
        <v>184</v>
      </c>
      <c r="E71" s="30" t="s">
        <v>172</v>
      </c>
      <c r="F71" s="30" t="s">
        <v>194</v>
      </c>
      <c r="G71">
        <v>200000</v>
      </c>
      <c r="H71" s="30" t="s">
        <v>174</v>
      </c>
      <c r="I71" s="30" t="s">
        <v>10</v>
      </c>
      <c r="J71" s="30" t="s">
        <v>190</v>
      </c>
      <c r="K71">
        <v>8</v>
      </c>
    </row>
    <row r="72" spans="1:11" x14ac:dyDescent="0.25">
      <c r="A72" s="30" t="s">
        <v>245</v>
      </c>
      <c r="B72" s="31">
        <v>45417</v>
      </c>
      <c r="C72" s="31">
        <v>45419</v>
      </c>
      <c r="D72" s="30" t="s">
        <v>171</v>
      </c>
      <c r="E72" s="30" t="s">
        <v>172</v>
      </c>
      <c r="F72" s="30" t="s">
        <v>178</v>
      </c>
      <c r="G72">
        <v>5000</v>
      </c>
      <c r="H72" s="30" t="s">
        <v>174</v>
      </c>
      <c r="I72" s="30" t="s">
        <v>10</v>
      </c>
      <c r="J72" s="30" t="s">
        <v>182</v>
      </c>
      <c r="K72">
        <v>2</v>
      </c>
    </row>
    <row r="73" spans="1:11" x14ac:dyDescent="0.25">
      <c r="A73" s="30" t="s">
        <v>246</v>
      </c>
      <c r="B73" s="31">
        <v>45398</v>
      </c>
      <c r="C73" s="31">
        <v>45408</v>
      </c>
      <c r="D73" s="30" t="s">
        <v>180</v>
      </c>
      <c r="E73" s="30" t="s">
        <v>193</v>
      </c>
      <c r="F73" s="30" t="s">
        <v>194</v>
      </c>
      <c r="G73">
        <v>25000</v>
      </c>
      <c r="H73" s="30" t="s">
        <v>174</v>
      </c>
      <c r="I73" s="30" t="s">
        <v>33</v>
      </c>
      <c r="J73" s="30" t="s">
        <v>190</v>
      </c>
      <c r="K73">
        <v>10</v>
      </c>
    </row>
    <row r="74" spans="1:11" x14ac:dyDescent="0.25">
      <c r="A74" s="30" t="s">
        <v>247</v>
      </c>
      <c r="B74" s="31">
        <v>45370</v>
      </c>
      <c r="C74" s="31">
        <v>45380</v>
      </c>
      <c r="D74" s="30" t="s">
        <v>184</v>
      </c>
      <c r="E74" s="30" t="s">
        <v>166</v>
      </c>
      <c r="F74" s="30" t="s">
        <v>185</v>
      </c>
      <c r="G74">
        <v>5000</v>
      </c>
      <c r="H74" s="30" t="s">
        <v>174</v>
      </c>
      <c r="I74" s="30" t="s">
        <v>10</v>
      </c>
      <c r="J74" s="30" t="s">
        <v>186</v>
      </c>
      <c r="K74">
        <v>10</v>
      </c>
    </row>
    <row r="75" spans="1:11" x14ac:dyDescent="0.25">
      <c r="A75" s="30" t="s">
        <v>248</v>
      </c>
      <c r="B75" s="31">
        <v>45353</v>
      </c>
      <c r="C75" s="31">
        <v>45356</v>
      </c>
      <c r="D75" s="30" t="s">
        <v>180</v>
      </c>
      <c r="E75" s="30" t="s">
        <v>193</v>
      </c>
      <c r="F75" s="30" t="s">
        <v>214</v>
      </c>
      <c r="G75">
        <v>8000</v>
      </c>
      <c r="H75" s="30" t="s">
        <v>174</v>
      </c>
      <c r="I75" s="30" t="s">
        <v>42</v>
      </c>
      <c r="J75" s="30" t="s">
        <v>204</v>
      </c>
      <c r="K75">
        <v>3</v>
      </c>
    </row>
    <row r="76" spans="1:11" x14ac:dyDescent="0.25">
      <c r="A76" s="30" t="s">
        <v>271</v>
      </c>
      <c r="B76" s="31">
        <v>45351</v>
      </c>
      <c r="C76" s="31">
        <v>45356</v>
      </c>
      <c r="D76" s="30" t="s">
        <v>180</v>
      </c>
      <c r="E76" s="30" t="s">
        <v>177</v>
      </c>
      <c r="F76" s="30" t="s">
        <v>185</v>
      </c>
      <c r="G76">
        <v>50000</v>
      </c>
      <c r="H76" s="30" t="s">
        <v>174</v>
      </c>
      <c r="I76" s="30" t="s">
        <v>33</v>
      </c>
      <c r="J76" s="30" t="s">
        <v>169</v>
      </c>
      <c r="K76">
        <v>5</v>
      </c>
    </row>
    <row r="77" spans="1:11" x14ac:dyDescent="0.25">
      <c r="A77" s="30" t="s">
        <v>272</v>
      </c>
      <c r="B77" s="31">
        <v>45342</v>
      </c>
      <c r="C77" s="31">
        <v>45349</v>
      </c>
      <c r="D77" s="30" t="s">
        <v>165</v>
      </c>
      <c r="E77" s="30" t="s">
        <v>172</v>
      </c>
      <c r="F77" s="30" t="s">
        <v>167</v>
      </c>
      <c r="G77">
        <v>8000</v>
      </c>
      <c r="H77" s="30" t="s">
        <v>174</v>
      </c>
      <c r="I77" s="30" t="s">
        <v>10</v>
      </c>
      <c r="J77" s="30" t="s">
        <v>186</v>
      </c>
      <c r="K77">
        <v>7</v>
      </c>
    </row>
    <row r="78" spans="1:11" x14ac:dyDescent="0.25">
      <c r="A78" s="30" t="s">
        <v>273</v>
      </c>
      <c r="B78" s="31">
        <v>45370</v>
      </c>
      <c r="C78" s="31">
        <v>45380</v>
      </c>
      <c r="D78" s="30" t="s">
        <v>180</v>
      </c>
      <c r="E78" s="30" t="s">
        <v>172</v>
      </c>
      <c r="F78" s="30" t="s">
        <v>196</v>
      </c>
      <c r="G78">
        <v>50000</v>
      </c>
      <c r="H78" s="30" t="s">
        <v>174</v>
      </c>
      <c r="I78" s="30" t="s">
        <v>33</v>
      </c>
      <c r="J78" s="30" t="s">
        <v>182</v>
      </c>
      <c r="K78">
        <v>10</v>
      </c>
    </row>
    <row r="79" spans="1:11" x14ac:dyDescent="0.25">
      <c r="A79" s="30" t="s">
        <v>249</v>
      </c>
      <c r="B79" s="31">
        <v>45418</v>
      </c>
      <c r="C79" s="31">
        <v>45426</v>
      </c>
      <c r="D79" s="30" t="s">
        <v>180</v>
      </c>
      <c r="E79" s="30" t="s">
        <v>172</v>
      </c>
      <c r="F79" s="30" t="s">
        <v>214</v>
      </c>
      <c r="G79">
        <v>8000</v>
      </c>
      <c r="H79" s="30" t="s">
        <v>174</v>
      </c>
      <c r="I79" s="30" t="s">
        <v>10</v>
      </c>
      <c r="J79" s="30" t="s">
        <v>204</v>
      </c>
      <c r="K79">
        <v>8</v>
      </c>
    </row>
    <row r="80" spans="1:11" x14ac:dyDescent="0.25">
      <c r="A80" s="30" t="s">
        <v>274</v>
      </c>
      <c r="B80" s="31">
        <v>45350</v>
      </c>
      <c r="C80" s="31">
        <v>45361</v>
      </c>
      <c r="D80" s="30" t="s">
        <v>176</v>
      </c>
      <c r="E80" s="30" t="s">
        <v>181</v>
      </c>
      <c r="F80" s="30" t="s">
        <v>173</v>
      </c>
      <c r="G80">
        <v>5000</v>
      </c>
      <c r="H80" s="30" t="s">
        <v>174</v>
      </c>
      <c r="I80" s="30" t="s">
        <v>24</v>
      </c>
      <c r="J80" s="30" t="s">
        <v>182</v>
      </c>
      <c r="K80">
        <v>11</v>
      </c>
    </row>
    <row r="81" spans="1:11" x14ac:dyDescent="0.25">
      <c r="A81" s="30" t="s">
        <v>250</v>
      </c>
      <c r="B81" s="31">
        <v>45458</v>
      </c>
      <c r="C81" s="31">
        <v>45466</v>
      </c>
      <c r="D81" s="30" t="s">
        <v>171</v>
      </c>
      <c r="E81" s="30" t="s">
        <v>193</v>
      </c>
      <c r="F81" s="30" t="s">
        <v>194</v>
      </c>
      <c r="G81">
        <v>50000</v>
      </c>
      <c r="H81" s="30" t="s">
        <v>174</v>
      </c>
      <c r="I81" s="30" t="s">
        <v>24</v>
      </c>
      <c r="J81" s="30" t="s">
        <v>169</v>
      </c>
      <c r="K81">
        <v>8</v>
      </c>
    </row>
    <row r="82" spans="1:11" x14ac:dyDescent="0.25">
      <c r="A82" s="30" t="s">
        <v>251</v>
      </c>
      <c r="B82" s="31">
        <v>45396</v>
      </c>
      <c r="C82" s="31">
        <v>45402</v>
      </c>
      <c r="D82" s="30" t="s">
        <v>165</v>
      </c>
      <c r="E82" s="30" t="s">
        <v>172</v>
      </c>
      <c r="F82" s="30" t="s">
        <v>196</v>
      </c>
      <c r="G82">
        <v>80000</v>
      </c>
      <c r="H82" s="30" t="s">
        <v>168</v>
      </c>
      <c r="I82" s="30" t="s">
        <v>24</v>
      </c>
      <c r="J82" s="30" t="s">
        <v>169</v>
      </c>
      <c r="K82">
        <v>6</v>
      </c>
    </row>
    <row r="83" spans="1:11" x14ac:dyDescent="0.25">
      <c r="A83" s="30" t="s">
        <v>252</v>
      </c>
      <c r="B83" s="31">
        <v>45461</v>
      </c>
      <c r="C83" s="31">
        <v>45468</v>
      </c>
      <c r="D83" s="30" t="s">
        <v>176</v>
      </c>
      <c r="E83" s="30" t="s">
        <v>172</v>
      </c>
      <c r="F83" s="30" t="s">
        <v>188</v>
      </c>
      <c r="G83">
        <v>5000</v>
      </c>
      <c r="H83" s="30" t="s">
        <v>174</v>
      </c>
      <c r="I83" s="30" t="s">
        <v>24</v>
      </c>
      <c r="J83" s="30" t="s">
        <v>182</v>
      </c>
      <c r="K83">
        <v>7</v>
      </c>
    </row>
    <row r="84" spans="1:11" x14ac:dyDescent="0.25">
      <c r="A84" s="30" t="s">
        <v>275</v>
      </c>
      <c r="B84" s="31">
        <v>45405</v>
      </c>
      <c r="C84" s="31">
        <v>45418</v>
      </c>
      <c r="D84" s="30" t="s">
        <v>171</v>
      </c>
      <c r="E84" s="30" t="s">
        <v>166</v>
      </c>
      <c r="F84" s="30" t="s">
        <v>199</v>
      </c>
      <c r="G84">
        <v>5000</v>
      </c>
      <c r="H84" s="30" t="s">
        <v>174</v>
      </c>
      <c r="I84" s="30" t="s">
        <v>24</v>
      </c>
      <c r="J84" s="30" t="s">
        <v>204</v>
      </c>
      <c r="K84">
        <v>13</v>
      </c>
    </row>
    <row r="85" spans="1:11" x14ac:dyDescent="0.25">
      <c r="A85" s="30" t="s">
        <v>253</v>
      </c>
      <c r="B85" s="31">
        <v>45349</v>
      </c>
      <c r="C85" s="31">
        <v>45363</v>
      </c>
      <c r="D85" s="30" t="s">
        <v>184</v>
      </c>
      <c r="E85" s="30" t="s">
        <v>166</v>
      </c>
      <c r="F85" s="30" t="s">
        <v>194</v>
      </c>
      <c r="G85">
        <v>8000</v>
      </c>
      <c r="H85" s="30" t="s">
        <v>168</v>
      </c>
      <c r="I85" s="30" t="s">
        <v>42</v>
      </c>
      <c r="J85" s="30" t="s">
        <v>182</v>
      </c>
      <c r="K85">
        <v>14</v>
      </c>
    </row>
    <row r="86" spans="1:11" x14ac:dyDescent="0.25">
      <c r="A86" s="30" t="s">
        <v>276</v>
      </c>
      <c r="B86" s="31"/>
      <c r="C86" s="31"/>
      <c r="D86" s="30" t="s">
        <v>276</v>
      </c>
      <c r="E86" s="30" t="s">
        <v>276</v>
      </c>
      <c r="F86" s="30" t="s">
        <v>276</v>
      </c>
      <c r="H86" s="30" t="s">
        <v>276</v>
      </c>
      <c r="I86" s="30" t="s">
        <v>276</v>
      </c>
      <c r="J86" s="30" t="s">
        <v>276</v>
      </c>
    </row>
    <row r="87" spans="1:11" x14ac:dyDescent="0.25">
      <c r="A87" s="30" t="s">
        <v>277</v>
      </c>
      <c r="B87" s="31"/>
      <c r="C87" s="31"/>
      <c r="D87" s="30" t="s">
        <v>277</v>
      </c>
      <c r="E87" s="30" t="s">
        <v>277</v>
      </c>
      <c r="F87" s="30" t="s">
        <v>277</v>
      </c>
      <c r="H87" s="30" t="s">
        <v>277</v>
      </c>
      <c r="I87" s="30" t="s">
        <v>277</v>
      </c>
      <c r="J87" s="30" t="s">
        <v>277</v>
      </c>
    </row>
    <row r="88" spans="1:11" x14ac:dyDescent="0.25">
      <c r="A88" s="30" t="s">
        <v>278</v>
      </c>
      <c r="B88" s="31"/>
      <c r="C88" s="31"/>
      <c r="D88" s="30" t="s">
        <v>278</v>
      </c>
      <c r="E88" s="30" t="s">
        <v>278</v>
      </c>
      <c r="F88" s="30" t="s">
        <v>278</v>
      </c>
      <c r="H88" s="30" t="s">
        <v>278</v>
      </c>
      <c r="I88" s="30" t="s">
        <v>278</v>
      </c>
      <c r="J88" s="30" t="s">
        <v>278</v>
      </c>
    </row>
    <row r="89" spans="1:11" x14ac:dyDescent="0.25">
      <c r="A89" s="30" t="s">
        <v>279</v>
      </c>
      <c r="B89" s="31"/>
      <c r="C89" s="31"/>
      <c r="D89" s="30" t="s">
        <v>279</v>
      </c>
      <c r="E89" s="30" t="s">
        <v>279</v>
      </c>
      <c r="F89" s="30" t="s">
        <v>279</v>
      </c>
      <c r="H89" s="30" t="s">
        <v>279</v>
      </c>
      <c r="I89" s="30" t="s">
        <v>279</v>
      </c>
      <c r="J89" s="30" t="s">
        <v>279</v>
      </c>
    </row>
    <row r="90" spans="1:11" x14ac:dyDescent="0.25">
      <c r="A90" s="30" t="s">
        <v>280</v>
      </c>
      <c r="B90" s="31"/>
      <c r="C90" s="31"/>
      <c r="D90" s="30" t="s">
        <v>280</v>
      </c>
      <c r="E90" s="30" t="s">
        <v>280</v>
      </c>
      <c r="F90" s="30" t="s">
        <v>280</v>
      </c>
      <c r="H90" s="30" t="s">
        <v>280</v>
      </c>
      <c r="I90" s="30" t="s">
        <v>280</v>
      </c>
      <c r="J90" s="30" t="s">
        <v>280</v>
      </c>
    </row>
    <row r="91" spans="1:11" x14ac:dyDescent="0.25">
      <c r="A91" s="30" t="s">
        <v>281</v>
      </c>
      <c r="B91" s="31"/>
      <c r="C91" s="31"/>
      <c r="D91" s="30" t="s">
        <v>281</v>
      </c>
      <c r="E91" s="30" t="s">
        <v>281</v>
      </c>
      <c r="F91" s="30" t="s">
        <v>281</v>
      </c>
      <c r="H91" s="30" t="s">
        <v>281</v>
      </c>
      <c r="I91" s="30" t="s">
        <v>281</v>
      </c>
      <c r="J91" s="30" t="s">
        <v>281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abSelected="1" workbookViewId="0">
      <selection activeCell="B13" sqref="B13"/>
    </sheetView>
  </sheetViews>
  <sheetFormatPr defaultRowHeight="15" x14ac:dyDescent="0.25"/>
  <cols>
    <col min="1" max="1" width="44.42578125" customWidth="1"/>
    <col min="2" max="2" width="65" customWidth="1"/>
  </cols>
  <sheetData>
    <row r="1" spans="1:2" ht="27.95" customHeight="1" x14ac:dyDescent="0.25">
      <c r="A1" s="27" t="s">
        <v>134</v>
      </c>
    </row>
    <row r="3" spans="1:2" ht="35.1" customHeight="1" x14ac:dyDescent="0.25">
      <c r="A3" s="16" t="s">
        <v>135</v>
      </c>
      <c r="B3" s="28" t="s">
        <v>136</v>
      </c>
    </row>
    <row r="4" spans="1:2" ht="35.1" customHeight="1" x14ac:dyDescent="0.25">
      <c r="A4" s="16" t="s">
        <v>137</v>
      </c>
      <c r="B4" s="28" t="s">
        <v>138</v>
      </c>
    </row>
    <row r="5" spans="1:2" ht="35.1" customHeight="1" x14ac:dyDescent="0.25">
      <c r="A5" s="16" t="s">
        <v>139</v>
      </c>
      <c r="B5" s="28" t="s">
        <v>140</v>
      </c>
    </row>
    <row r="6" spans="1:2" ht="35.1" customHeight="1" x14ac:dyDescent="0.25">
      <c r="A6" s="16" t="s">
        <v>141</v>
      </c>
      <c r="B6" s="28" t="s">
        <v>142</v>
      </c>
    </row>
    <row r="7" spans="1:2" ht="35.1" customHeight="1" x14ac:dyDescent="0.25">
      <c r="A7" s="16" t="s">
        <v>143</v>
      </c>
      <c r="B7" s="28" t="s">
        <v>144</v>
      </c>
    </row>
    <row r="8" spans="1:2" ht="38.25" x14ac:dyDescent="0.25">
      <c r="A8" s="16" t="s">
        <v>145</v>
      </c>
      <c r="B8" s="28" t="s">
        <v>146</v>
      </c>
    </row>
    <row r="9" spans="1:2" ht="38.25" x14ac:dyDescent="0.25">
      <c r="A9" s="16" t="s">
        <v>147</v>
      </c>
      <c r="B9" s="28" t="s">
        <v>148</v>
      </c>
    </row>
    <row r="10" spans="1:2" ht="35.1" customHeight="1" x14ac:dyDescent="0.25">
      <c r="A10" s="16" t="s">
        <v>149</v>
      </c>
      <c r="B10" s="28" t="s">
        <v>150</v>
      </c>
    </row>
    <row r="11" spans="1:2" ht="35.1" customHeight="1" x14ac:dyDescent="0.25">
      <c r="A11" s="16" t="s">
        <v>151</v>
      </c>
      <c r="B11" s="28" t="s">
        <v>152</v>
      </c>
    </row>
    <row r="13" spans="1:2" ht="69" customHeight="1" x14ac:dyDescent="1.35">
      <c r="A13" s="29" t="s">
        <v>153</v>
      </c>
      <c r="B13" s="32" t="s">
        <v>282</v>
      </c>
    </row>
    <row r="14" spans="1:2" x14ac:dyDescent="0.25">
      <c r="A14" s="29"/>
    </row>
    <row r="15" spans="1:2" x14ac:dyDescent="0.25">
      <c r="A15" s="2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C7EFEE-3D3C-492F-AF40-A472FDF2A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Dynamic Arrays</vt:lpstr>
      <vt:lpstr>XLOOKUP Advanced</vt:lpstr>
      <vt:lpstr>LAMBDA + LET</vt:lpstr>
      <vt:lpstr>Day5_Procurement_Data (2)</vt:lpstr>
      <vt:lpstr>Power Query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2026-05-28T06:30:43Z</dcterms:created>
  <dcterms:modified xsi:type="dcterms:W3CDTF">2026-06-02T16:13:27Z</dcterms:modified>
</cp:coreProperties>
</file>