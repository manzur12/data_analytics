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data analytics\Week 2\Day 9\"/>
    </mc:Choice>
  </mc:AlternateContent>
  <xr:revisionPtr revIDLastSave="0" documentId="8_{79BE3292-8C81-4744-ADB9-F89FD00053C8}" xr6:coauthVersionLast="47" xr6:coauthVersionMax="47" xr10:uidLastSave="{00000000-0000-0000-0000-000000000000}"/>
  <bookViews>
    <workbookView xWindow="-105" yWindow="0" windowWidth="14610" windowHeight="16305" activeTab="1" xr2:uid="{00000000-000D-0000-FFFF-FFFF00000000}"/>
  </bookViews>
  <sheets>
    <sheet name="Sales_Data" sheetId="1" r:id="rId1"/>
    <sheet name="Dynamic_Array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7" i="2" l="1" a="1"/>
  <c r="U57" i="2" s="1"/>
  <c r="S20" i="2" a="1"/>
  <c r="S20" i="2" s="1"/>
  <c r="N20" i="2" a="1"/>
  <c r="N20" i="2" s="1"/>
  <c r="N57" i="2" a="1"/>
  <c r="N57" i="2" s="1"/>
  <c r="A57" i="2" a="1"/>
  <c r="A57" i="2" s="1"/>
  <c r="N10" i="2" a="1"/>
  <c r="N10" i="2" s="1"/>
  <c r="L2" i="2" a="1"/>
  <c r="L2" i="2" s="1"/>
  <c r="A20" i="2" a="1"/>
  <c r="A20" i="2" s="1"/>
  <c r="C12" i="2" a="1"/>
  <c r="C12" i="2" s="1"/>
  <c r="B2" i="2" a="1"/>
  <c r="B2" i="2" s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<sst xmlns="http://schemas.openxmlformats.org/spreadsheetml/2006/main" count="1281" uniqueCount="133">
  <si>
    <t>Order_ID</t>
  </si>
  <si>
    <t>Order_Date</t>
  </si>
  <si>
    <t>Region</t>
  </si>
  <si>
    <t>Division</t>
  </si>
  <si>
    <t>Product_Category</t>
  </si>
  <si>
    <t>Product_Name</t>
  </si>
  <si>
    <t>Salesperson</t>
  </si>
  <si>
    <t>Units_Sold</t>
  </si>
  <si>
    <t>Unit_Price_BDT</t>
  </si>
  <si>
    <t>Revenue_BDT</t>
  </si>
  <si>
    <t>Customer_Type</t>
  </si>
  <si>
    <t>2026-03-24</t>
  </si>
  <si>
    <t>Dhaka</t>
  </si>
  <si>
    <t>RMG Supplies</t>
  </si>
  <si>
    <t>Cotton Fabric Roll</t>
  </si>
  <si>
    <t>Farzana Akter</t>
  </si>
  <si>
    <t>Corporate</t>
  </si>
  <si>
    <t>2026-03-20</t>
  </si>
  <si>
    <t>Narayanganj</t>
  </si>
  <si>
    <t>Retail Electronics</t>
  </si>
  <si>
    <t>Walton Fridge</t>
  </si>
  <si>
    <t>Rafiq Islam</t>
  </si>
  <si>
    <t>Retail</t>
  </si>
  <si>
    <t>2026-01-25</t>
  </si>
  <si>
    <t>Sylhet</t>
  </si>
  <si>
    <t>FMCG</t>
  </si>
  <si>
    <t>Pran Juice Carton</t>
  </si>
  <si>
    <t>2026-01-13</t>
  </si>
  <si>
    <t>Rajshahi</t>
  </si>
  <si>
    <t>Bogura</t>
  </si>
  <si>
    <t>Khulna</t>
  </si>
  <si>
    <t>Jessore</t>
  </si>
  <si>
    <t>2026-03-08</t>
  </si>
  <si>
    <t>Wholesale</t>
  </si>
  <si>
    <t>2026-02-06</t>
  </si>
  <si>
    <t>Mobile Banking</t>
  </si>
  <si>
    <t>Nagad POS Device</t>
  </si>
  <si>
    <t>Shahid Ahmed</t>
  </si>
  <si>
    <t>Garment Labels</t>
  </si>
  <si>
    <t>Nusrat Jahan</t>
  </si>
  <si>
    <t>2026-01-08</t>
  </si>
  <si>
    <t>Chattogram</t>
  </si>
  <si>
    <t>Cox's Bazar</t>
  </si>
  <si>
    <t>Walton TV</t>
  </si>
  <si>
    <t>2026-02-07</t>
  </si>
  <si>
    <t>2026-03-18</t>
  </si>
  <si>
    <t>2026-01-17</t>
  </si>
  <si>
    <t>Mitu Rahman</t>
  </si>
  <si>
    <t>bKash Agent Kit</t>
  </si>
  <si>
    <t>Kamal Hossain</t>
  </si>
  <si>
    <t>Sewing Thread Box</t>
  </si>
  <si>
    <t>2026-01-05</t>
  </si>
  <si>
    <t>ACI Soap Pack</t>
  </si>
  <si>
    <t>2026-02-27</t>
  </si>
  <si>
    <t>Sumaiya Khan</t>
  </si>
  <si>
    <t>Telecom</t>
  </si>
  <si>
    <t>Banglalink Bundle</t>
  </si>
  <si>
    <t>2026-03-14</t>
  </si>
  <si>
    <t>Singer Blender</t>
  </si>
  <si>
    <t>2026-02-04</t>
  </si>
  <si>
    <t>2026-01-23</t>
  </si>
  <si>
    <t>2026-02-22</t>
  </si>
  <si>
    <t>Square Toiletries</t>
  </si>
  <si>
    <t>2026-03-02</t>
  </si>
  <si>
    <t>Jahangir Alam</t>
  </si>
  <si>
    <t>2026-01-18</t>
  </si>
  <si>
    <t>2026-01-15</t>
  </si>
  <si>
    <t>Robi Internet Pack</t>
  </si>
  <si>
    <t>2026-01-14</t>
  </si>
  <si>
    <t>2026-02-09</t>
  </si>
  <si>
    <t>2026-01-02</t>
  </si>
  <si>
    <t>2026-03-06</t>
  </si>
  <si>
    <t>Grameenphone SIM</t>
  </si>
  <si>
    <t>2026-03-11</t>
  </si>
  <si>
    <t>2026-02-15</t>
  </si>
  <si>
    <t>2026-03-09</t>
  </si>
  <si>
    <t>2026-03-23</t>
  </si>
  <si>
    <t>2026-01-24</t>
  </si>
  <si>
    <t>2026-03-21</t>
  </si>
  <si>
    <t>2026-02-02</t>
  </si>
  <si>
    <t>2026-03-01</t>
  </si>
  <si>
    <t>2026-03-04</t>
  </si>
  <si>
    <t>Gazipur</t>
  </si>
  <si>
    <t>2026-03-13</t>
  </si>
  <si>
    <t>2026-03-22</t>
  </si>
  <si>
    <t>2026-01-07</t>
  </si>
  <si>
    <t>2026-01-10</t>
  </si>
  <si>
    <t>2026-03-07</t>
  </si>
  <si>
    <t>2026-01-22</t>
  </si>
  <si>
    <t>2026-03-28</t>
  </si>
  <si>
    <t>2026-01-21</t>
  </si>
  <si>
    <t>2026-03-27</t>
  </si>
  <si>
    <t>2026-01-09</t>
  </si>
  <si>
    <t>2026-02-13</t>
  </si>
  <si>
    <t>2026-02-28</t>
  </si>
  <si>
    <t>2026-02-11</t>
  </si>
  <si>
    <t>Rocket Sim Pack</t>
  </si>
  <si>
    <t>2026-01-19</t>
  </si>
  <si>
    <t>2026-02-03</t>
  </si>
  <si>
    <t>2026-03-25</t>
  </si>
  <si>
    <t>2026-02-18</t>
  </si>
  <si>
    <t>2026-02-19</t>
  </si>
  <si>
    <t>2026-02-10</t>
  </si>
  <si>
    <t>2026-02-26</t>
  </si>
  <si>
    <t>2026-03-10</t>
  </si>
  <si>
    <t>2026-03-19</t>
  </si>
  <si>
    <t>2026-01-28</t>
  </si>
  <si>
    <t>2026-02-14</t>
  </si>
  <si>
    <t>2026-02-08</t>
  </si>
  <si>
    <t>2026-03-16</t>
  </si>
  <si>
    <t>2026-03-26</t>
  </si>
  <si>
    <t>2026-03-05</t>
  </si>
  <si>
    <t>2026-02-05</t>
  </si>
  <si>
    <t>2026-01-20</t>
  </si>
  <si>
    <t>2026-02-12</t>
  </si>
  <si>
    <t>2026-02-20</t>
  </si>
  <si>
    <t>2026-01-03</t>
  </si>
  <si>
    <t>2026-01-12</t>
  </si>
  <si>
    <t>2026-03-03</t>
  </si>
  <si>
    <t>2026-01-11</t>
  </si>
  <si>
    <t>2026-01-06</t>
  </si>
  <si>
    <t>2026-01-27</t>
  </si>
  <si>
    <t>2026-03-12</t>
  </si>
  <si>
    <t>1.UNIQUE — Region column থেকে distinct list, duplicate ছাড়া, spill হয়ে নিচে আসে</t>
  </si>
  <si>
    <t>UNIQUE — Product Category column থেকে distinct list</t>
  </si>
  <si>
    <t>FILTER single condition — শুধু Dhaka region-এর সব order</t>
  </si>
  <si>
    <t>FILTER AND condition — * দিয়ে, Dhaka + Corporate দুটোই লাগবে</t>
  </si>
  <si>
    <t>FILTER no-match — Barisal নেই, IFERROR দিয়ে error handle</t>
  </si>
  <si>
    <t>SORT — column 10 (Revenue) অনুযায়ী বড় থেকে ছোট, -1=descending</t>
  </si>
  <si>
    <t>SORTBY — Salesperson নাম দেখাবে, Revenue অনুযায়ী rank</t>
  </si>
  <si>
    <t>SEQUENCE — 1 থেকে 10, automatic serial number</t>
  </si>
  <si>
    <t>SEQUENCE — 100 থেকে শুরু, 10 করে কমবে → 100,90,80,70,60</t>
  </si>
  <si>
    <t>COMBINE — আগে FILTER (Chattogram), তারপর SORT (Revenue desc), ভেতর থেকে বাইরে execute হয়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</si>
</sst>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4" fontId="2" fillId="0" borderId="1" xfId="0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3" borderId="0" xfId="0" applyFill="1"/>
    <xf numFmtId="0" fontId="3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workbookViewId="0">
      <pane ySplit="1" topLeftCell="A146" activePane="bottomLeft" state="frozen"/>
      <selection pane="bottomLeft"/>
    </sheetView>
  </sheetViews>
  <sheetFormatPr defaultRowHeight="15" x14ac:dyDescent="0.25"/>
  <cols>
    <col min="1" max="1" width="10" customWidth="1"/>
    <col min="2" max="3" width="12" customWidth="1"/>
    <col min="4" max="4" width="14" customWidth="1"/>
    <col min="5" max="5" width="18" customWidth="1"/>
    <col min="6" max="6" width="20" customWidth="1"/>
    <col min="7" max="7" width="16" customWidth="1"/>
    <col min="8" max="8" width="11" customWidth="1"/>
    <col min="9" max="10" width="15" customWidth="1"/>
    <col min="11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1001</v>
      </c>
      <c r="B2" s="2" t="s">
        <v>11</v>
      </c>
      <c r="C2" s="2" t="s">
        <v>12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40</v>
      </c>
      <c r="I2" s="2">
        <v>3695.53</v>
      </c>
      <c r="J2" s="3">
        <f t="shared" ref="J2:J33" si="0">H2*I2</f>
        <v>147821.20000000001</v>
      </c>
      <c r="K2" s="2" t="s">
        <v>16</v>
      </c>
    </row>
    <row r="3" spans="1:11" x14ac:dyDescent="0.25">
      <c r="A3" s="2">
        <v>1002</v>
      </c>
      <c r="B3" s="2" t="s">
        <v>17</v>
      </c>
      <c r="C3" s="2" t="s">
        <v>12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28</v>
      </c>
      <c r="I3" s="2">
        <v>1132.26</v>
      </c>
      <c r="J3" s="3">
        <f t="shared" si="0"/>
        <v>31703.279999999999</v>
      </c>
      <c r="K3" s="2" t="s">
        <v>22</v>
      </c>
    </row>
    <row r="4" spans="1:11" x14ac:dyDescent="0.25">
      <c r="A4" s="2">
        <v>1003</v>
      </c>
      <c r="B4" s="2" t="s">
        <v>23</v>
      </c>
      <c r="C4" s="2" t="s">
        <v>24</v>
      </c>
      <c r="D4" s="2" t="s">
        <v>24</v>
      </c>
      <c r="E4" s="2" t="s">
        <v>25</v>
      </c>
      <c r="F4" s="2" t="s">
        <v>26</v>
      </c>
      <c r="G4" s="2" t="s">
        <v>15</v>
      </c>
      <c r="H4" s="2">
        <v>119</v>
      </c>
      <c r="I4" s="2">
        <v>2966.87</v>
      </c>
      <c r="J4" s="3">
        <f t="shared" si="0"/>
        <v>353057.52999999997</v>
      </c>
      <c r="K4" s="2" t="s">
        <v>22</v>
      </c>
    </row>
    <row r="5" spans="1:11" x14ac:dyDescent="0.25">
      <c r="A5" s="2">
        <v>1004</v>
      </c>
      <c r="B5" s="2" t="s">
        <v>27</v>
      </c>
      <c r="C5" s="2" t="s">
        <v>28</v>
      </c>
      <c r="D5" s="2" t="s">
        <v>29</v>
      </c>
      <c r="E5" s="2" t="s">
        <v>13</v>
      </c>
      <c r="F5" s="2" t="s">
        <v>14</v>
      </c>
      <c r="G5" s="2" t="s">
        <v>15</v>
      </c>
      <c r="H5" s="2">
        <v>200</v>
      </c>
      <c r="I5" s="2">
        <v>1716.14</v>
      </c>
      <c r="J5" s="3">
        <f t="shared" si="0"/>
        <v>343228</v>
      </c>
      <c r="K5" s="2" t="s">
        <v>22</v>
      </c>
    </row>
    <row r="6" spans="1:11" x14ac:dyDescent="0.25">
      <c r="A6" s="2">
        <v>1005</v>
      </c>
      <c r="B6" s="2" t="s">
        <v>27</v>
      </c>
      <c r="C6" s="2" t="s">
        <v>30</v>
      </c>
      <c r="D6" s="2" t="s">
        <v>31</v>
      </c>
      <c r="E6" s="2" t="s">
        <v>25</v>
      </c>
      <c r="F6" s="2" t="s">
        <v>26</v>
      </c>
      <c r="G6" s="2" t="s">
        <v>21</v>
      </c>
      <c r="H6" s="2">
        <v>191</v>
      </c>
      <c r="I6" s="2">
        <v>2324.15</v>
      </c>
      <c r="J6" s="3">
        <f t="shared" si="0"/>
        <v>443912.65</v>
      </c>
      <c r="K6" s="2" t="s">
        <v>22</v>
      </c>
    </row>
    <row r="7" spans="1:11" x14ac:dyDescent="0.25">
      <c r="A7" s="2">
        <v>1006</v>
      </c>
      <c r="B7" s="2" t="s">
        <v>32</v>
      </c>
      <c r="C7" s="2" t="s">
        <v>24</v>
      </c>
      <c r="D7" s="2" t="s">
        <v>24</v>
      </c>
      <c r="E7" s="2" t="s">
        <v>25</v>
      </c>
      <c r="F7" s="2" t="s">
        <v>26</v>
      </c>
      <c r="G7" s="2" t="s">
        <v>15</v>
      </c>
      <c r="H7" s="2">
        <v>185</v>
      </c>
      <c r="I7" s="2">
        <v>394.3</v>
      </c>
      <c r="J7" s="3">
        <f t="shared" si="0"/>
        <v>72945.5</v>
      </c>
      <c r="K7" s="2" t="s">
        <v>33</v>
      </c>
    </row>
    <row r="8" spans="1:11" x14ac:dyDescent="0.25">
      <c r="A8" s="2">
        <v>1007</v>
      </c>
      <c r="B8" s="2" t="s">
        <v>34</v>
      </c>
      <c r="C8" s="2" t="s">
        <v>12</v>
      </c>
      <c r="D8" s="2" t="s">
        <v>12</v>
      </c>
      <c r="E8" s="2" t="s">
        <v>35</v>
      </c>
      <c r="F8" s="2" t="s">
        <v>36</v>
      </c>
      <c r="G8" s="2" t="s">
        <v>37</v>
      </c>
      <c r="H8" s="2">
        <v>121</v>
      </c>
      <c r="I8" s="2">
        <v>3196.64</v>
      </c>
      <c r="J8" s="3">
        <f t="shared" si="0"/>
        <v>386793.44</v>
      </c>
      <c r="K8" s="2" t="s">
        <v>33</v>
      </c>
    </row>
    <row r="9" spans="1:11" x14ac:dyDescent="0.25">
      <c r="A9" s="2">
        <v>1008</v>
      </c>
      <c r="B9" s="2" t="s">
        <v>11</v>
      </c>
      <c r="C9" s="2" t="s">
        <v>30</v>
      </c>
      <c r="D9" s="2" t="s">
        <v>30</v>
      </c>
      <c r="E9" s="2" t="s">
        <v>13</v>
      </c>
      <c r="F9" s="2" t="s">
        <v>38</v>
      </c>
      <c r="G9" s="2" t="s">
        <v>39</v>
      </c>
      <c r="H9" s="2">
        <v>160</v>
      </c>
      <c r="I9" s="2">
        <v>3193.14</v>
      </c>
      <c r="J9" s="3">
        <f t="shared" si="0"/>
        <v>510902.39999999997</v>
      </c>
      <c r="K9" s="2" t="s">
        <v>22</v>
      </c>
    </row>
    <row r="10" spans="1:11" x14ac:dyDescent="0.25">
      <c r="A10" s="2">
        <v>1009</v>
      </c>
      <c r="B10" s="2" t="s">
        <v>40</v>
      </c>
      <c r="C10" s="2" t="s">
        <v>41</v>
      </c>
      <c r="D10" s="2" t="s">
        <v>42</v>
      </c>
      <c r="E10" s="2" t="s">
        <v>19</v>
      </c>
      <c r="F10" s="2" t="s">
        <v>43</v>
      </c>
      <c r="G10" s="2" t="s">
        <v>15</v>
      </c>
      <c r="H10" s="2">
        <v>180</v>
      </c>
      <c r="I10" s="2">
        <v>1655.2</v>
      </c>
      <c r="J10" s="3">
        <f t="shared" si="0"/>
        <v>297936</v>
      </c>
      <c r="K10" s="2" t="s">
        <v>22</v>
      </c>
    </row>
    <row r="11" spans="1:11" x14ac:dyDescent="0.25">
      <c r="A11" s="2">
        <v>1010</v>
      </c>
      <c r="B11" s="2" t="s">
        <v>44</v>
      </c>
      <c r="C11" s="2" t="s">
        <v>30</v>
      </c>
      <c r="D11" s="2" t="s">
        <v>31</v>
      </c>
      <c r="E11" s="2" t="s">
        <v>13</v>
      </c>
      <c r="F11" s="2" t="s">
        <v>14</v>
      </c>
      <c r="G11" s="2" t="s">
        <v>15</v>
      </c>
      <c r="H11" s="2">
        <v>150</v>
      </c>
      <c r="I11" s="2">
        <v>4388.0200000000004</v>
      </c>
      <c r="J11" s="3">
        <f t="shared" si="0"/>
        <v>658203.00000000012</v>
      </c>
      <c r="K11" s="2" t="s">
        <v>16</v>
      </c>
    </row>
    <row r="12" spans="1:11" x14ac:dyDescent="0.25">
      <c r="A12" s="2">
        <v>1011</v>
      </c>
      <c r="B12" s="2" t="s">
        <v>45</v>
      </c>
      <c r="C12" s="2" t="s">
        <v>28</v>
      </c>
      <c r="D12" s="2" t="s">
        <v>29</v>
      </c>
      <c r="E12" s="2" t="s">
        <v>19</v>
      </c>
      <c r="F12" s="2" t="s">
        <v>20</v>
      </c>
      <c r="G12" s="2" t="s">
        <v>37</v>
      </c>
      <c r="H12" s="2">
        <v>40</v>
      </c>
      <c r="I12" s="2">
        <v>1270.81</v>
      </c>
      <c r="J12" s="3">
        <f t="shared" si="0"/>
        <v>50832.399999999994</v>
      </c>
      <c r="K12" s="2" t="s">
        <v>33</v>
      </c>
    </row>
    <row r="13" spans="1:11" x14ac:dyDescent="0.25">
      <c r="A13" s="2">
        <v>1012</v>
      </c>
      <c r="B13" s="2" t="s">
        <v>46</v>
      </c>
      <c r="C13" s="2" t="s">
        <v>24</v>
      </c>
      <c r="D13" s="2" t="s">
        <v>24</v>
      </c>
      <c r="E13" s="2" t="s">
        <v>25</v>
      </c>
      <c r="F13" s="2" t="s">
        <v>26</v>
      </c>
      <c r="G13" s="2" t="s">
        <v>47</v>
      </c>
      <c r="H13" s="2">
        <v>61</v>
      </c>
      <c r="I13" s="2">
        <v>4986.76</v>
      </c>
      <c r="J13" s="3">
        <f t="shared" si="0"/>
        <v>304192.36</v>
      </c>
      <c r="K13" s="2" t="s">
        <v>33</v>
      </c>
    </row>
    <row r="14" spans="1:11" x14ac:dyDescent="0.25">
      <c r="A14" s="2">
        <v>1013</v>
      </c>
      <c r="B14" s="2" t="s">
        <v>27</v>
      </c>
      <c r="C14" s="2" t="s">
        <v>12</v>
      </c>
      <c r="D14" s="2" t="s">
        <v>12</v>
      </c>
      <c r="E14" s="2" t="s">
        <v>35</v>
      </c>
      <c r="F14" s="2" t="s">
        <v>48</v>
      </c>
      <c r="G14" s="2" t="s">
        <v>49</v>
      </c>
      <c r="H14" s="2">
        <v>179</v>
      </c>
      <c r="I14" s="2">
        <v>2139.69</v>
      </c>
      <c r="J14" s="3">
        <f t="shared" si="0"/>
        <v>383004.51</v>
      </c>
      <c r="K14" s="2" t="s">
        <v>33</v>
      </c>
    </row>
    <row r="15" spans="1:11" x14ac:dyDescent="0.25">
      <c r="A15" s="2">
        <v>1014</v>
      </c>
      <c r="B15" s="2" t="s">
        <v>45</v>
      </c>
      <c r="C15" s="2" t="s">
        <v>24</v>
      </c>
      <c r="D15" s="2" t="s">
        <v>24</v>
      </c>
      <c r="E15" s="2" t="s">
        <v>25</v>
      </c>
      <c r="F15" s="2" t="s">
        <v>26</v>
      </c>
      <c r="G15" s="2" t="s">
        <v>21</v>
      </c>
      <c r="H15" s="2">
        <v>179</v>
      </c>
      <c r="I15" s="2">
        <v>3617.57</v>
      </c>
      <c r="J15" s="3">
        <f t="shared" si="0"/>
        <v>647545.03</v>
      </c>
      <c r="K15" s="2" t="s">
        <v>33</v>
      </c>
    </row>
    <row r="16" spans="1:11" x14ac:dyDescent="0.25">
      <c r="A16" s="2">
        <v>1015</v>
      </c>
      <c r="B16" s="2" t="s">
        <v>11</v>
      </c>
      <c r="C16" s="2" t="s">
        <v>30</v>
      </c>
      <c r="D16" s="2" t="s">
        <v>30</v>
      </c>
      <c r="E16" s="2" t="s">
        <v>13</v>
      </c>
      <c r="F16" s="2" t="s">
        <v>50</v>
      </c>
      <c r="G16" s="2" t="s">
        <v>49</v>
      </c>
      <c r="H16" s="2">
        <v>121</v>
      </c>
      <c r="I16" s="2">
        <v>66.06</v>
      </c>
      <c r="J16" s="3">
        <f t="shared" si="0"/>
        <v>7993.26</v>
      </c>
      <c r="K16" s="2" t="s">
        <v>33</v>
      </c>
    </row>
    <row r="17" spans="1:11" x14ac:dyDescent="0.25">
      <c r="A17" s="2">
        <v>1016</v>
      </c>
      <c r="B17" s="2" t="s">
        <v>51</v>
      </c>
      <c r="C17" s="2" t="s">
        <v>24</v>
      </c>
      <c r="D17" s="2" t="s">
        <v>24</v>
      </c>
      <c r="E17" s="2" t="s">
        <v>25</v>
      </c>
      <c r="F17" s="2" t="s">
        <v>52</v>
      </c>
      <c r="G17" s="2" t="s">
        <v>37</v>
      </c>
      <c r="H17" s="2">
        <v>168</v>
      </c>
      <c r="I17" s="2">
        <v>2562.9299999999998</v>
      </c>
      <c r="J17" s="3">
        <f t="shared" si="0"/>
        <v>430572.24</v>
      </c>
      <c r="K17" s="2" t="s">
        <v>33</v>
      </c>
    </row>
    <row r="18" spans="1:11" x14ac:dyDescent="0.25">
      <c r="A18" s="2">
        <v>1017</v>
      </c>
      <c r="B18" s="2" t="s">
        <v>53</v>
      </c>
      <c r="C18" s="2" t="s">
        <v>41</v>
      </c>
      <c r="D18" s="2" t="s">
        <v>41</v>
      </c>
      <c r="E18" s="2" t="s">
        <v>25</v>
      </c>
      <c r="F18" s="2" t="s">
        <v>26</v>
      </c>
      <c r="G18" s="2" t="s">
        <v>54</v>
      </c>
      <c r="H18" s="2">
        <v>9</v>
      </c>
      <c r="I18" s="2">
        <v>603.75</v>
      </c>
      <c r="J18" s="3">
        <f t="shared" si="0"/>
        <v>5433.75</v>
      </c>
      <c r="K18" s="2" t="s">
        <v>33</v>
      </c>
    </row>
    <row r="19" spans="1:11" x14ac:dyDescent="0.25">
      <c r="A19" s="2">
        <v>1018</v>
      </c>
      <c r="B19" s="2" t="s">
        <v>23</v>
      </c>
      <c r="C19" s="2" t="s">
        <v>41</v>
      </c>
      <c r="D19" s="2" t="s">
        <v>41</v>
      </c>
      <c r="E19" s="2" t="s">
        <v>55</v>
      </c>
      <c r="F19" s="2" t="s">
        <v>56</v>
      </c>
      <c r="G19" s="2" t="s">
        <v>39</v>
      </c>
      <c r="H19" s="2">
        <v>26</v>
      </c>
      <c r="I19" s="2">
        <v>3672.94</v>
      </c>
      <c r="J19" s="3">
        <f t="shared" si="0"/>
        <v>95496.44</v>
      </c>
      <c r="K19" s="2" t="s">
        <v>16</v>
      </c>
    </row>
    <row r="20" spans="1:11" x14ac:dyDescent="0.25">
      <c r="A20" s="2">
        <v>1019</v>
      </c>
      <c r="B20" s="2" t="s">
        <v>57</v>
      </c>
      <c r="C20" s="2" t="s">
        <v>41</v>
      </c>
      <c r="D20" s="2" t="s">
        <v>41</v>
      </c>
      <c r="E20" s="2" t="s">
        <v>19</v>
      </c>
      <c r="F20" s="2" t="s">
        <v>58</v>
      </c>
      <c r="G20" s="2" t="s">
        <v>49</v>
      </c>
      <c r="H20" s="2">
        <v>72</v>
      </c>
      <c r="I20" s="2">
        <v>2661.99</v>
      </c>
      <c r="J20" s="3">
        <f t="shared" si="0"/>
        <v>191663.27999999997</v>
      </c>
      <c r="K20" s="2" t="s">
        <v>22</v>
      </c>
    </row>
    <row r="21" spans="1:11" x14ac:dyDescent="0.25">
      <c r="A21" s="2">
        <v>1020</v>
      </c>
      <c r="B21" s="2" t="s">
        <v>59</v>
      </c>
      <c r="C21" s="2" t="s">
        <v>24</v>
      </c>
      <c r="D21" s="2" t="s">
        <v>24</v>
      </c>
      <c r="E21" s="2" t="s">
        <v>13</v>
      </c>
      <c r="F21" s="2" t="s">
        <v>50</v>
      </c>
      <c r="G21" s="2" t="s">
        <v>47</v>
      </c>
      <c r="H21" s="2">
        <v>117</v>
      </c>
      <c r="I21" s="2">
        <v>4503.09</v>
      </c>
      <c r="J21" s="3">
        <f t="shared" si="0"/>
        <v>526861.53</v>
      </c>
      <c r="K21" s="2" t="s">
        <v>22</v>
      </c>
    </row>
    <row r="22" spans="1:11" x14ac:dyDescent="0.25">
      <c r="A22" s="2">
        <v>1021</v>
      </c>
      <c r="B22" s="2" t="s">
        <v>60</v>
      </c>
      <c r="C22" s="2" t="s">
        <v>41</v>
      </c>
      <c r="D22" s="2" t="s">
        <v>41</v>
      </c>
      <c r="E22" s="2" t="s">
        <v>13</v>
      </c>
      <c r="F22" s="2" t="s">
        <v>14</v>
      </c>
      <c r="G22" s="2" t="s">
        <v>15</v>
      </c>
      <c r="H22" s="2">
        <v>155</v>
      </c>
      <c r="I22" s="2">
        <v>1140.08</v>
      </c>
      <c r="J22" s="3">
        <f t="shared" si="0"/>
        <v>176712.4</v>
      </c>
      <c r="K22" s="2" t="s">
        <v>16</v>
      </c>
    </row>
    <row r="23" spans="1:11" x14ac:dyDescent="0.25">
      <c r="A23" s="2">
        <v>1022</v>
      </c>
      <c r="B23" s="2" t="s">
        <v>61</v>
      </c>
      <c r="C23" s="2" t="s">
        <v>12</v>
      </c>
      <c r="D23" s="2" t="s">
        <v>12</v>
      </c>
      <c r="E23" s="2" t="s">
        <v>35</v>
      </c>
      <c r="F23" s="2" t="s">
        <v>48</v>
      </c>
      <c r="G23" s="2" t="s">
        <v>47</v>
      </c>
      <c r="H23" s="2">
        <v>23</v>
      </c>
      <c r="I23" s="2">
        <v>2595.0700000000002</v>
      </c>
      <c r="J23" s="3">
        <f t="shared" si="0"/>
        <v>59686.61</v>
      </c>
      <c r="K23" s="2" t="s">
        <v>33</v>
      </c>
    </row>
    <row r="24" spans="1:11" x14ac:dyDescent="0.25">
      <c r="A24" s="2">
        <v>1023</v>
      </c>
      <c r="B24" s="2" t="s">
        <v>44</v>
      </c>
      <c r="C24" s="2" t="s">
        <v>41</v>
      </c>
      <c r="D24" s="2" t="s">
        <v>41</v>
      </c>
      <c r="E24" s="2" t="s">
        <v>25</v>
      </c>
      <c r="F24" s="2" t="s">
        <v>62</v>
      </c>
      <c r="G24" s="2" t="s">
        <v>54</v>
      </c>
      <c r="H24" s="2">
        <v>67</v>
      </c>
      <c r="I24" s="2">
        <v>3933.87</v>
      </c>
      <c r="J24" s="3">
        <f t="shared" si="0"/>
        <v>263569.28999999998</v>
      </c>
      <c r="K24" s="2" t="s">
        <v>22</v>
      </c>
    </row>
    <row r="25" spans="1:11" x14ac:dyDescent="0.25">
      <c r="A25" s="2">
        <v>1024</v>
      </c>
      <c r="B25" s="2" t="s">
        <v>63</v>
      </c>
      <c r="C25" s="2" t="s">
        <v>12</v>
      </c>
      <c r="D25" s="2" t="s">
        <v>18</v>
      </c>
      <c r="E25" s="2" t="s">
        <v>19</v>
      </c>
      <c r="F25" s="2" t="s">
        <v>43</v>
      </c>
      <c r="G25" s="2" t="s">
        <v>64</v>
      </c>
      <c r="H25" s="2">
        <v>110</v>
      </c>
      <c r="I25" s="2">
        <v>2361.77</v>
      </c>
      <c r="J25" s="3">
        <f t="shared" si="0"/>
        <v>259794.7</v>
      </c>
      <c r="K25" s="2" t="s">
        <v>16</v>
      </c>
    </row>
    <row r="26" spans="1:11" x14ac:dyDescent="0.25">
      <c r="A26" s="2">
        <v>1025</v>
      </c>
      <c r="B26" s="2" t="s">
        <v>65</v>
      </c>
      <c r="C26" s="2" t="s">
        <v>12</v>
      </c>
      <c r="D26" s="2" t="s">
        <v>12</v>
      </c>
      <c r="E26" s="2" t="s">
        <v>19</v>
      </c>
      <c r="F26" s="2" t="s">
        <v>58</v>
      </c>
      <c r="G26" s="2" t="s">
        <v>47</v>
      </c>
      <c r="H26" s="2">
        <v>32</v>
      </c>
      <c r="I26" s="2">
        <v>1280.8499999999999</v>
      </c>
      <c r="J26" s="3">
        <f t="shared" si="0"/>
        <v>40987.199999999997</v>
      </c>
      <c r="K26" s="2" t="s">
        <v>33</v>
      </c>
    </row>
    <row r="27" spans="1:11" x14ac:dyDescent="0.25">
      <c r="A27" s="2">
        <v>1026</v>
      </c>
      <c r="B27" s="2" t="s">
        <v>66</v>
      </c>
      <c r="C27" s="2" t="s">
        <v>41</v>
      </c>
      <c r="D27" s="2" t="s">
        <v>42</v>
      </c>
      <c r="E27" s="2" t="s">
        <v>55</v>
      </c>
      <c r="F27" s="2" t="s">
        <v>67</v>
      </c>
      <c r="G27" s="2" t="s">
        <v>54</v>
      </c>
      <c r="H27" s="2">
        <v>68</v>
      </c>
      <c r="I27" s="2">
        <v>4378.71</v>
      </c>
      <c r="J27" s="3">
        <f t="shared" si="0"/>
        <v>297752.28000000003</v>
      </c>
      <c r="K27" s="2" t="s">
        <v>16</v>
      </c>
    </row>
    <row r="28" spans="1:11" x14ac:dyDescent="0.25">
      <c r="A28" s="2">
        <v>1027</v>
      </c>
      <c r="B28" s="2" t="s">
        <v>68</v>
      </c>
      <c r="C28" s="2" t="s">
        <v>12</v>
      </c>
      <c r="D28" s="2" t="s">
        <v>12</v>
      </c>
      <c r="E28" s="2" t="s">
        <v>25</v>
      </c>
      <c r="F28" s="2" t="s">
        <v>52</v>
      </c>
      <c r="G28" s="2" t="s">
        <v>39</v>
      </c>
      <c r="H28" s="2">
        <v>197</v>
      </c>
      <c r="I28" s="2">
        <v>4251.04</v>
      </c>
      <c r="J28" s="3">
        <f t="shared" si="0"/>
        <v>837454.88</v>
      </c>
      <c r="K28" s="2" t="s">
        <v>33</v>
      </c>
    </row>
    <row r="29" spans="1:11" x14ac:dyDescent="0.25">
      <c r="A29" s="2">
        <v>1028</v>
      </c>
      <c r="B29" s="2" t="s">
        <v>69</v>
      </c>
      <c r="C29" s="2" t="s">
        <v>28</v>
      </c>
      <c r="D29" s="2" t="s">
        <v>28</v>
      </c>
      <c r="E29" s="2" t="s">
        <v>19</v>
      </c>
      <c r="F29" s="2" t="s">
        <v>20</v>
      </c>
      <c r="G29" s="2" t="s">
        <v>49</v>
      </c>
      <c r="H29" s="2">
        <v>102</v>
      </c>
      <c r="I29" s="2">
        <v>60.67</v>
      </c>
      <c r="J29" s="3">
        <f t="shared" si="0"/>
        <v>6188.34</v>
      </c>
      <c r="K29" s="2" t="s">
        <v>33</v>
      </c>
    </row>
    <row r="30" spans="1:11" x14ac:dyDescent="0.25">
      <c r="A30" s="2">
        <v>1029</v>
      </c>
      <c r="B30" s="2" t="s">
        <v>70</v>
      </c>
      <c r="C30" s="2" t="s">
        <v>30</v>
      </c>
      <c r="D30" s="2" t="s">
        <v>31</v>
      </c>
      <c r="E30" s="2" t="s">
        <v>25</v>
      </c>
      <c r="F30" s="2" t="s">
        <v>62</v>
      </c>
      <c r="G30" s="2" t="s">
        <v>54</v>
      </c>
      <c r="H30" s="2">
        <v>44</v>
      </c>
      <c r="I30" s="2">
        <v>989.99</v>
      </c>
      <c r="J30" s="3">
        <f t="shared" si="0"/>
        <v>43559.56</v>
      </c>
      <c r="K30" s="2" t="s">
        <v>16</v>
      </c>
    </row>
    <row r="31" spans="1:11" x14ac:dyDescent="0.25">
      <c r="A31" s="2">
        <v>1030</v>
      </c>
      <c r="B31" s="2" t="s">
        <v>71</v>
      </c>
      <c r="C31" s="2" t="s">
        <v>24</v>
      </c>
      <c r="D31" s="2" t="s">
        <v>24</v>
      </c>
      <c r="E31" s="2" t="s">
        <v>13</v>
      </c>
      <c r="F31" s="2" t="s">
        <v>14</v>
      </c>
      <c r="G31" s="2" t="s">
        <v>21</v>
      </c>
      <c r="H31" s="2">
        <v>154</v>
      </c>
      <c r="I31" s="2">
        <v>2410.1</v>
      </c>
      <c r="J31" s="3">
        <f t="shared" si="0"/>
        <v>371155.39999999997</v>
      </c>
      <c r="K31" s="2" t="s">
        <v>22</v>
      </c>
    </row>
    <row r="32" spans="1:11" x14ac:dyDescent="0.25">
      <c r="A32" s="2">
        <v>1031</v>
      </c>
      <c r="B32" s="2" t="s">
        <v>59</v>
      </c>
      <c r="C32" s="2" t="s">
        <v>24</v>
      </c>
      <c r="D32" s="2" t="s">
        <v>24</v>
      </c>
      <c r="E32" s="2" t="s">
        <v>55</v>
      </c>
      <c r="F32" s="2" t="s">
        <v>72</v>
      </c>
      <c r="G32" s="2" t="s">
        <v>39</v>
      </c>
      <c r="H32" s="2">
        <v>177</v>
      </c>
      <c r="I32" s="2">
        <v>4316.01</v>
      </c>
      <c r="J32" s="3">
        <f t="shared" si="0"/>
        <v>763933.77</v>
      </c>
      <c r="K32" s="2" t="s">
        <v>16</v>
      </c>
    </row>
    <row r="33" spans="1:11" x14ac:dyDescent="0.25">
      <c r="A33" s="2">
        <v>1032</v>
      </c>
      <c r="B33" s="2" t="s">
        <v>73</v>
      </c>
      <c r="C33" s="2" t="s">
        <v>41</v>
      </c>
      <c r="D33" s="2" t="s">
        <v>41</v>
      </c>
      <c r="E33" s="2" t="s">
        <v>25</v>
      </c>
      <c r="F33" s="2" t="s">
        <v>52</v>
      </c>
      <c r="G33" s="2" t="s">
        <v>64</v>
      </c>
      <c r="H33" s="2">
        <v>173</v>
      </c>
      <c r="I33" s="2">
        <v>2939.18</v>
      </c>
      <c r="J33" s="3">
        <f t="shared" si="0"/>
        <v>508478.13999999996</v>
      </c>
      <c r="K33" s="2" t="s">
        <v>33</v>
      </c>
    </row>
    <row r="34" spans="1:11" x14ac:dyDescent="0.25">
      <c r="A34" s="2">
        <v>1033</v>
      </c>
      <c r="B34" s="2" t="s">
        <v>74</v>
      </c>
      <c r="C34" s="2" t="s">
        <v>41</v>
      </c>
      <c r="D34" s="2" t="s">
        <v>42</v>
      </c>
      <c r="E34" s="2" t="s">
        <v>55</v>
      </c>
      <c r="F34" s="2" t="s">
        <v>67</v>
      </c>
      <c r="G34" s="2" t="s">
        <v>64</v>
      </c>
      <c r="H34" s="2">
        <v>38</v>
      </c>
      <c r="I34" s="2">
        <v>3374.87</v>
      </c>
      <c r="J34" s="3">
        <f t="shared" ref="J34:J65" si="1">H34*I34</f>
        <v>128245.06</v>
      </c>
      <c r="K34" s="2" t="s">
        <v>33</v>
      </c>
    </row>
    <row r="35" spans="1:11" x14ac:dyDescent="0.25">
      <c r="A35" s="2">
        <v>1034</v>
      </c>
      <c r="B35" s="2" t="s">
        <v>75</v>
      </c>
      <c r="C35" s="2" t="s">
        <v>12</v>
      </c>
      <c r="D35" s="2" t="s">
        <v>12</v>
      </c>
      <c r="E35" s="2" t="s">
        <v>19</v>
      </c>
      <c r="F35" s="2" t="s">
        <v>58</v>
      </c>
      <c r="G35" s="2" t="s">
        <v>39</v>
      </c>
      <c r="H35" s="2">
        <v>23</v>
      </c>
      <c r="I35" s="2">
        <v>2711.29</v>
      </c>
      <c r="J35" s="3">
        <f t="shared" si="1"/>
        <v>62359.67</v>
      </c>
      <c r="K35" s="2" t="s">
        <v>22</v>
      </c>
    </row>
    <row r="36" spans="1:11" x14ac:dyDescent="0.25">
      <c r="A36" s="2">
        <v>1035</v>
      </c>
      <c r="B36" s="2" t="s">
        <v>76</v>
      </c>
      <c r="C36" s="2" t="s">
        <v>30</v>
      </c>
      <c r="D36" s="2" t="s">
        <v>30</v>
      </c>
      <c r="E36" s="2" t="s">
        <v>55</v>
      </c>
      <c r="F36" s="2" t="s">
        <v>67</v>
      </c>
      <c r="G36" s="2" t="s">
        <v>37</v>
      </c>
      <c r="H36" s="2">
        <v>45</v>
      </c>
      <c r="I36" s="2">
        <v>2219.0100000000002</v>
      </c>
      <c r="J36" s="3">
        <f t="shared" si="1"/>
        <v>99855.450000000012</v>
      </c>
      <c r="K36" s="2" t="s">
        <v>33</v>
      </c>
    </row>
    <row r="37" spans="1:11" x14ac:dyDescent="0.25">
      <c r="A37" s="2">
        <v>1036</v>
      </c>
      <c r="B37" s="2" t="s">
        <v>77</v>
      </c>
      <c r="C37" s="2" t="s">
        <v>24</v>
      </c>
      <c r="D37" s="2" t="s">
        <v>24</v>
      </c>
      <c r="E37" s="2" t="s">
        <v>25</v>
      </c>
      <c r="F37" s="2" t="s">
        <v>26</v>
      </c>
      <c r="G37" s="2" t="s">
        <v>39</v>
      </c>
      <c r="H37" s="2">
        <v>39</v>
      </c>
      <c r="I37" s="2">
        <v>1359.11</v>
      </c>
      <c r="J37" s="3">
        <f t="shared" si="1"/>
        <v>53005.289999999994</v>
      </c>
      <c r="K37" s="2" t="s">
        <v>16</v>
      </c>
    </row>
    <row r="38" spans="1:11" x14ac:dyDescent="0.25">
      <c r="A38" s="2">
        <v>1037</v>
      </c>
      <c r="B38" s="2" t="s">
        <v>78</v>
      </c>
      <c r="C38" s="2" t="s">
        <v>41</v>
      </c>
      <c r="D38" s="2" t="s">
        <v>42</v>
      </c>
      <c r="E38" s="2" t="s">
        <v>13</v>
      </c>
      <c r="F38" s="2" t="s">
        <v>38</v>
      </c>
      <c r="G38" s="2" t="s">
        <v>15</v>
      </c>
      <c r="H38" s="2">
        <v>188</v>
      </c>
      <c r="I38" s="2">
        <v>1747.26</v>
      </c>
      <c r="J38" s="3">
        <f t="shared" si="1"/>
        <v>328484.88</v>
      </c>
      <c r="K38" s="2" t="s">
        <v>33</v>
      </c>
    </row>
    <row r="39" spans="1:11" x14ac:dyDescent="0.25">
      <c r="A39" s="2">
        <v>1038</v>
      </c>
      <c r="B39" s="2" t="s">
        <v>79</v>
      </c>
      <c r="C39" s="2" t="s">
        <v>24</v>
      </c>
      <c r="D39" s="2" t="s">
        <v>24</v>
      </c>
      <c r="E39" s="2" t="s">
        <v>13</v>
      </c>
      <c r="F39" s="2" t="s">
        <v>14</v>
      </c>
      <c r="G39" s="2" t="s">
        <v>39</v>
      </c>
      <c r="H39" s="2">
        <v>167</v>
      </c>
      <c r="I39" s="2">
        <v>2146.6999999999998</v>
      </c>
      <c r="J39" s="3">
        <f t="shared" si="1"/>
        <v>358498.89999999997</v>
      </c>
      <c r="K39" s="2" t="s">
        <v>22</v>
      </c>
    </row>
    <row r="40" spans="1:11" x14ac:dyDescent="0.25">
      <c r="A40" s="2">
        <v>1039</v>
      </c>
      <c r="B40" s="2" t="s">
        <v>80</v>
      </c>
      <c r="C40" s="2" t="s">
        <v>30</v>
      </c>
      <c r="D40" s="2" t="s">
        <v>30</v>
      </c>
      <c r="E40" s="2" t="s">
        <v>13</v>
      </c>
      <c r="F40" s="2" t="s">
        <v>14</v>
      </c>
      <c r="G40" s="2" t="s">
        <v>54</v>
      </c>
      <c r="H40" s="2">
        <v>146</v>
      </c>
      <c r="I40" s="2">
        <v>3543.05</v>
      </c>
      <c r="J40" s="3">
        <f t="shared" si="1"/>
        <v>517285.30000000005</v>
      </c>
      <c r="K40" s="2" t="s">
        <v>22</v>
      </c>
    </row>
    <row r="41" spans="1:11" x14ac:dyDescent="0.25">
      <c r="A41" s="2">
        <v>1040</v>
      </c>
      <c r="B41" s="2" t="s">
        <v>68</v>
      </c>
      <c r="C41" s="2" t="s">
        <v>12</v>
      </c>
      <c r="D41" s="2" t="s">
        <v>18</v>
      </c>
      <c r="E41" s="2" t="s">
        <v>55</v>
      </c>
      <c r="F41" s="2" t="s">
        <v>56</v>
      </c>
      <c r="G41" s="2" t="s">
        <v>21</v>
      </c>
      <c r="H41" s="2">
        <v>99</v>
      </c>
      <c r="I41" s="2">
        <v>2933.42</v>
      </c>
      <c r="J41" s="3">
        <f t="shared" si="1"/>
        <v>290408.58</v>
      </c>
      <c r="K41" s="2" t="s">
        <v>22</v>
      </c>
    </row>
    <row r="42" spans="1:11" x14ac:dyDescent="0.25">
      <c r="A42" s="2">
        <v>1041</v>
      </c>
      <c r="B42" s="2" t="s">
        <v>81</v>
      </c>
      <c r="C42" s="2" t="s">
        <v>12</v>
      </c>
      <c r="D42" s="2" t="s">
        <v>82</v>
      </c>
      <c r="E42" s="2" t="s">
        <v>13</v>
      </c>
      <c r="F42" s="2" t="s">
        <v>14</v>
      </c>
      <c r="G42" s="2" t="s">
        <v>47</v>
      </c>
      <c r="H42" s="2">
        <v>58</v>
      </c>
      <c r="I42" s="2">
        <v>3426.23</v>
      </c>
      <c r="J42" s="3">
        <f t="shared" si="1"/>
        <v>198721.34</v>
      </c>
      <c r="K42" s="2" t="s">
        <v>33</v>
      </c>
    </row>
    <row r="43" spans="1:11" x14ac:dyDescent="0.25">
      <c r="A43" s="2">
        <v>1042</v>
      </c>
      <c r="B43" s="2" t="s">
        <v>68</v>
      </c>
      <c r="C43" s="2" t="s">
        <v>24</v>
      </c>
      <c r="D43" s="2" t="s">
        <v>24</v>
      </c>
      <c r="E43" s="2" t="s">
        <v>25</v>
      </c>
      <c r="F43" s="2" t="s">
        <v>62</v>
      </c>
      <c r="G43" s="2" t="s">
        <v>49</v>
      </c>
      <c r="H43" s="2">
        <v>65</v>
      </c>
      <c r="I43" s="2">
        <v>4329.8</v>
      </c>
      <c r="J43" s="3">
        <f t="shared" si="1"/>
        <v>281437</v>
      </c>
      <c r="K43" s="2" t="s">
        <v>22</v>
      </c>
    </row>
    <row r="44" spans="1:11" x14ac:dyDescent="0.25">
      <c r="A44" s="2">
        <v>1043</v>
      </c>
      <c r="B44" s="2" t="s">
        <v>81</v>
      </c>
      <c r="C44" s="2" t="s">
        <v>41</v>
      </c>
      <c r="D44" s="2" t="s">
        <v>42</v>
      </c>
      <c r="E44" s="2" t="s">
        <v>19</v>
      </c>
      <c r="F44" s="2" t="s">
        <v>58</v>
      </c>
      <c r="G44" s="2" t="s">
        <v>15</v>
      </c>
      <c r="H44" s="2">
        <v>73</v>
      </c>
      <c r="I44" s="2">
        <v>838.03</v>
      </c>
      <c r="J44" s="3">
        <f t="shared" si="1"/>
        <v>61176.189999999995</v>
      </c>
      <c r="K44" s="2" t="s">
        <v>33</v>
      </c>
    </row>
    <row r="45" spans="1:11" x14ac:dyDescent="0.25">
      <c r="A45" s="2">
        <v>1044</v>
      </c>
      <c r="B45" s="2" t="s">
        <v>40</v>
      </c>
      <c r="C45" s="2" t="s">
        <v>12</v>
      </c>
      <c r="D45" s="2" t="s">
        <v>82</v>
      </c>
      <c r="E45" s="2" t="s">
        <v>55</v>
      </c>
      <c r="F45" s="2" t="s">
        <v>72</v>
      </c>
      <c r="G45" s="2" t="s">
        <v>54</v>
      </c>
      <c r="H45" s="2">
        <v>94</v>
      </c>
      <c r="I45" s="2">
        <v>1560.69</v>
      </c>
      <c r="J45" s="3">
        <f t="shared" si="1"/>
        <v>146704.86000000002</v>
      </c>
      <c r="K45" s="2" t="s">
        <v>22</v>
      </c>
    </row>
    <row r="46" spans="1:11" x14ac:dyDescent="0.25">
      <c r="A46" s="2">
        <v>1045</v>
      </c>
      <c r="B46" s="2" t="s">
        <v>83</v>
      </c>
      <c r="C46" s="2" t="s">
        <v>41</v>
      </c>
      <c r="D46" s="2" t="s">
        <v>42</v>
      </c>
      <c r="E46" s="2" t="s">
        <v>13</v>
      </c>
      <c r="F46" s="2" t="s">
        <v>50</v>
      </c>
      <c r="G46" s="2" t="s">
        <v>39</v>
      </c>
      <c r="H46" s="2">
        <v>76</v>
      </c>
      <c r="I46" s="2">
        <v>1788.17</v>
      </c>
      <c r="J46" s="3">
        <f t="shared" si="1"/>
        <v>135900.92000000001</v>
      </c>
      <c r="K46" s="2" t="s">
        <v>16</v>
      </c>
    </row>
    <row r="47" spans="1:11" x14ac:dyDescent="0.25">
      <c r="A47" s="2">
        <v>1046</v>
      </c>
      <c r="B47" s="2" t="s">
        <v>79</v>
      </c>
      <c r="C47" s="2" t="s">
        <v>24</v>
      </c>
      <c r="D47" s="2" t="s">
        <v>24</v>
      </c>
      <c r="E47" s="2" t="s">
        <v>35</v>
      </c>
      <c r="F47" s="2" t="s">
        <v>48</v>
      </c>
      <c r="G47" s="2" t="s">
        <v>37</v>
      </c>
      <c r="H47" s="2">
        <v>50</v>
      </c>
      <c r="I47" s="2">
        <v>2923.92</v>
      </c>
      <c r="J47" s="3">
        <f t="shared" si="1"/>
        <v>146196</v>
      </c>
      <c r="K47" s="2" t="s">
        <v>22</v>
      </c>
    </row>
    <row r="48" spans="1:11" x14ac:dyDescent="0.25">
      <c r="A48" s="2">
        <v>1047</v>
      </c>
      <c r="B48" s="2" t="s">
        <v>81</v>
      </c>
      <c r="C48" s="2" t="s">
        <v>24</v>
      </c>
      <c r="D48" s="2" t="s">
        <v>24</v>
      </c>
      <c r="E48" s="2" t="s">
        <v>13</v>
      </c>
      <c r="F48" s="2" t="s">
        <v>38</v>
      </c>
      <c r="G48" s="2" t="s">
        <v>47</v>
      </c>
      <c r="H48" s="2">
        <v>116</v>
      </c>
      <c r="I48" s="2">
        <v>3050.73</v>
      </c>
      <c r="J48" s="3">
        <f t="shared" si="1"/>
        <v>353884.68</v>
      </c>
      <c r="K48" s="2" t="s">
        <v>33</v>
      </c>
    </row>
    <row r="49" spans="1:11" x14ac:dyDescent="0.25">
      <c r="A49" s="2">
        <v>1048</v>
      </c>
      <c r="B49" s="2" t="s">
        <v>84</v>
      </c>
      <c r="C49" s="2" t="s">
        <v>24</v>
      </c>
      <c r="D49" s="2" t="s">
        <v>24</v>
      </c>
      <c r="E49" s="2" t="s">
        <v>13</v>
      </c>
      <c r="F49" s="2" t="s">
        <v>14</v>
      </c>
      <c r="G49" s="2" t="s">
        <v>64</v>
      </c>
      <c r="H49" s="2">
        <v>5</v>
      </c>
      <c r="I49" s="2">
        <v>2623.61</v>
      </c>
      <c r="J49" s="3">
        <f t="shared" si="1"/>
        <v>13118.050000000001</v>
      </c>
      <c r="K49" s="2" t="s">
        <v>16</v>
      </c>
    </row>
    <row r="50" spans="1:11" x14ac:dyDescent="0.25">
      <c r="A50" s="2">
        <v>1049</v>
      </c>
      <c r="B50" s="2" t="s">
        <v>77</v>
      </c>
      <c r="C50" s="2" t="s">
        <v>41</v>
      </c>
      <c r="D50" s="2" t="s">
        <v>42</v>
      </c>
      <c r="E50" s="2" t="s">
        <v>19</v>
      </c>
      <c r="F50" s="2" t="s">
        <v>20</v>
      </c>
      <c r="G50" s="2" t="s">
        <v>47</v>
      </c>
      <c r="H50" s="2">
        <v>164</v>
      </c>
      <c r="I50" s="2">
        <v>1603.88</v>
      </c>
      <c r="J50" s="3">
        <f t="shared" si="1"/>
        <v>263036.32</v>
      </c>
      <c r="K50" s="2" t="s">
        <v>33</v>
      </c>
    </row>
    <row r="51" spans="1:11" x14ac:dyDescent="0.25">
      <c r="A51" s="2">
        <v>1050</v>
      </c>
      <c r="B51" s="2" t="s">
        <v>85</v>
      </c>
      <c r="C51" s="2" t="s">
        <v>24</v>
      </c>
      <c r="D51" s="2" t="s">
        <v>24</v>
      </c>
      <c r="E51" s="2" t="s">
        <v>19</v>
      </c>
      <c r="F51" s="2" t="s">
        <v>43</v>
      </c>
      <c r="G51" s="2" t="s">
        <v>64</v>
      </c>
      <c r="H51" s="2">
        <v>183</v>
      </c>
      <c r="I51" s="2">
        <v>1513.49</v>
      </c>
      <c r="J51" s="3">
        <f t="shared" si="1"/>
        <v>276968.67</v>
      </c>
      <c r="K51" s="2" t="s">
        <v>33</v>
      </c>
    </row>
    <row r="52" spans="1:11" x14ac:dyDescent="0.25">
      <c r="A52" s="2">
        <v>1051</v>
      </c>
      <c r="B52" s="2" t="s">
        <v>86</v>
      </c>
      <c r="C52" s="2" t="s">
        <v>28</v>
      </c>
      <c r="D52" s="2" t="s">
        <v>28</v>
      </c>
      <c r="E52" s="2" t="s">
        <v>25</v>
      </c>
      <c r="F52" s="2" t="s">
        <v>62</v>
      </c>
      <c r="G52" s="2" t="s">
        <v>37</v>
      </c>
      <c r="H52" s="2">
        <v>108</v>
      </c>
      <c r="I52" s="2">
        <v>2762.29</v>
      </c>
      <c r="J52" s="3">
        <f t="shared" si="1"/>
        <v>298327.32</v>
      </c>
      <c r="K52" s="2" t="s">
        <v>33</v>
      </c>
    </row>
    <row r="53" spans="1:11" x14ac:dyDescent="0.25">
      <c r="A53" s="2">
        <v>1052</v>
      </c>
      <c r="B53" s="2" t="s">
        <v>87</v>
      </c>
      <c r="C53" s="2" t="s">
        <v>41</v>
      </c>
      <c r="D53" s="2" t="s">
        <v>42</v>
      </c>
      <c r="E53" s="2" t="s">
        <v>25</v>
      </c>
      <c r="F53" s="2" t="s">
        <v>62</v>
      </c>
      <c r="G53" s="2" t="s">
        <v>47</v>
      </c>
      <c r="H53" s="2">
        <v>124</v>
      </c>
      <c r="I53" s="2">
        <v>2236.84</v>
      </c>
      <c r="J53" s="3">
        <f t="shared" si="1"/>
        <v>277368.16000000003</v>
      </c>
      <c r="K53" s="2" t="s">
        <v>16</v>
      </c>
    </row>
    <row r="54" spans="1:11" x14ac:dyDescent="0.25">
      <c r="A54" s="2">
        <v>1053</v>
      </c>
      <c r="B54" s="2" t="s">
        <v>88</v>
      </c>
      <c r="C54" s="2" t="s">
        <v>28</v>
      </c>
      <c r="D54" s="2" t="s">
        <v>28</v>
      </c>
      <c r="E54" s="2" t="s">
        <v>35</v>
      </c>
      <c r="F54" s="2" t="s">
        <v>36</v>
      </c>
      <c r="G54" s="2" t="s">
        <v>47</v>
      </c>
      <c r="H54" s="2">
        <v>28</v>
      </c>
      <c r="I54" s="2">
        <v>4101.2</v>
      </c>
      <c r="J54" s="3">
        <f t="shared" si="1"/>
        <v>114833.59999999999</v>
      </c>
      <c r="K54" s="2" t="s">
        <v>33</v>
      </c>
    </row>
    <row r="55" spans="1:11" x14ac:dyDescent="0.25">
      <c r="A55" s="2">
        <v>1054</v>
      </c>
      <c r="B55" s="2" t="s">
        <v>89</v>
      </c>
      <c r="C55" s="2" t="s">
        <v>41</v>
      </c>
      <c r="D55" s="2" t="s">
        <v>41</v>
      </c>
      <c r="E55" s="2" t="s">
        <v>55</v>
      </c>
      <c r="F55" s="2" t="s">
        <v>72</v>
      </c>
      <c r="G55" s="2" t="s">
        <v>21</v>
      </c>
      <c r="H55" s="2">
        <v>67</v>
      </c>
      <c r="I55" s="2">
        <v>4920.4799999999996</v>
      </c>
      <c r="J55" s="3">
        <f t="shared" si="1"/>
        <v>329672.15999999997</v>
      </c>
      <c r="K55" s="2" t="s">
        <v>22</v>
      </c>
    </row>
    <row r="56" spans="1:11" x14ac:dyDescent="0.25">
      <c r="A56" s="2">
        <v>1055</v>
      </c>
      <c r="B56" s="2" t="s">
        <v>90</v>
      </c>
      <c r="C56" s="2" t="s">
        <v>28</v>
      </c>
      <c r="D56" s="2" t="s">
        <v>29</v>
      </c>
      <c r="E56" s="2" t="s">
        <v>25</v>
      </c>
      <c r="F56" s="2" t="s">
        <v>52</v>
      </c>
      <c r="G56" s="2" t="s">
        <v>64</v>
      </c>
      <c r="H56" s="2">
        <v>131</v>
      </c>
      <c r="I56" s="2">
        <v>2028.28</v>
      </c>
      <c r="J56" s="3">
        <f t="shared" si="1"/>
        <v>265704.68</v>
      </c>
      <c r="K56" s="2" t="s">
        <v>16</v>
      </c>
    </row>
    <row r="57" spans="1:11" x14ac:dyDescent="0.25">
      <c r="A57" s="2">
        <v>1056</v>
      </c>
      <c r="B57" s="2" t="s">
        <v>65</v>
      </c>
      <c r="C57" s="2" t="s">
        <v>12</v>
      </c>
      <c r="D57" s="2" t="s">
        <v>12</v>
      </c>
      <c r="E57" s="2" t="s">
        <v>19</v>
      </c>
      <c r="F57" s="2" t="s">
        <v>20</v>
      </c>
      <c r="G57" s="2" t="s">
        <v>49</v>
      </c>
      <c r="H57" s="2">
        <v>183</v>
      </c>
      <c r="I57" s="2">
        <v>2613.89</v>
      </c>
      <c r="J57" s="3">
        <f t="shared" si="1"/>
        <v>478341.87</v>
      </c>
      <c r="K57" s="2" t="s">
        <v>22</v>
      </c>
    </row>
    <row r="58" spans="1:11" x14ac:dyDescent="0.25">
      <c r="A58" s="2">
        <v>1057</v>
      </c>
      <c r="B58" s="2" t="s">
        <v>91</v>
      </c>
      <c r="C58" s="2" t="s">
        <v>12</v>
      </c>
      <c r="D58" s="2" t="s">
        <v>82</v>
      </c>
      <c r="E58" s="2" t="s">
        <v>55</v>
      </c>
      <c r="F58" s="2" t="s">
        <v>67</v>
      </c>
      <c r="G58" s="2" t="s">
        <v>47</v>
      </c>
      <c r="H58" s="2">
        <v>198</v>
      </c>
      <c r="I58" s="2">
        <v>4462.5600000000004</v>
      </c>
      <c r="J58" s="3">
        <f t="shared" si="1"/>
        <v>883586.88000000012</v>
      </c>
      <c r="K58" s="2" t="s">
        <v>16</v>
      </c>
    </row>
    <row r="59" spans="1:11" x14ac:dyDescent="0.25">
      <c r="A59" s="2">
        <v>1058</v>
      </c>
      <c r="B59" s="2" t="s">
        <v>69</v>
      </c>
      <c r="C59" s="2" t="s">
        <v>24</v>
      </c>
      <c r="D59" s="2" t="s">
        <v>24</v>
      </c>
      <c r="E59" s="2" t="s">
        <v>25</v>
      </c>
      <c r="F59" s="2" t="s">
        <v>26</v>
      </c>
      <c r="G59" s="2" t="s">
        <v>49</v>
      </c>
      <c r="H59" s="2">
        <v>195</v>
      </c>
      <c r="I59" s="2">
        <v>4314.3999999999996</v>
      </c>
      <c r="J59" s="3">
        <f t="shared" si="1"/>
        <v>841307.99999999988</v>
      </c>
      <c r="K59" s="2" t="s">
        <v>22</v>
      </c>
    </row>
    <row r="60" spans="1:11" x14ac:dyDescent="0.25">
      <c r="A60" s="2">
        <v>1059</v>
      </c>
      <c r="B60" s="2" t="s">
        <v>92</v>
      </c>
      <c r="C60" s="2" t="s">
        <v>30</v>
      </c>
      <c r="D60" s="2" t="s">
        <v>31</v>
      </c>
      <c r="E60" s="2" t="s">
        <v>55</v>
      </c>
      <c r="F60" s="2" t="s">
        <v>67</v>
      </c>
      <c r="G60" s="2" t="s">
        <v>54</v>
      </c>
      <c r="H60" s="2">
        <v>24</v>
      </c>
      <c r="I60" s="2">
        <v>3582.05</v>
      </c>
      <c r="J60" s="3">
        <f t="shared" si="1"/>
        <v>85969.200000000012</v>
      </c>
      <c r="K60" s="2" t="s">
        <v>33</v>
      </c>
    </row>
    <row r="61" spans="1:11" x14ac:dyDescent="0.25">
      <c r="A61" s="2">
        <v>1060</v>
      </c>
      <c r="B61" s="2" t="s">
        <v>87</v>
      </c>
      <c r="C61" s="2" t="s">
        <v>30</v>
      </c>
      <c r="D61" s="2" t="s">
        <v>30</v>
      </c>
      <c r="E61" s="2" t="s">
        <v>55</v>
      </c>
      <c r="F61" s="2" t="s">
        <v>72</v>
      </c>
      <c r="G61" s="2" t="s">
        <v>15</v>
      </c>
      <c r="H61" s="2">
        <v>103</v>
      </c>
      <c r="I61" s="2">
        <v>3485.05</v>
      </c>
      <c r="J61" s="3">
        <f t="shared" si="1"/>
        <v>358960.15</v>
      </c>
      <c r="K61" s="2" t="s">
        <v>22</v>
      </c>
    </row>
    <row r="62" spans="1:11" x14ac:dyDescent="0.25">
      <c r="A62" s="2">
        <v>1061</v>
      </c>
      <c r="B62" s="2" t="s">
        <v>93</v>
      </c>
      <c r="C62" s="2" t="s">
        <v>28</v>
      </c>
      <c r="D62" s="2" t="s">
        <v>29</v>
      </c>
      <c r="E62" s="2" t="s">
        <v>13</v>
      </c>
      <c r="F62" s="2" t="s">
        <v>38</v>
      </c>
      <c r="G62" s="2" t="s">
        <v>54</v>
      </c>
      <c r="H62" s="2">
        <v>111</v>
      </c>
      <c r="I62" s="2">
        <v>358.22</v>
      </c>
      <c r="J62" s="3">
        <f t="shared" si="1"/>
        <v>39762.420000000006</v>
      </c>
      <c r="K62" s="2" t="s">
        <v>16</v>
      </c>
    </row>
    <row r="63" spans="1:11" x14ac:dyDescent="0.25">
      <c r="A63" s="2">
        <v>1062</v>
      </c>
      <c r="B63" s="2" t="s">
        <v>94</v>
      </c>
      <c r="C63" s="2" t="s">
        <v>12</v>
      </c>
      <c r="D63" s="2" t="s">
        <v>18</v>
      </c>
      <c r="E63" s="2" t="s">
        <v>19</v>
      </c>
      <c r="F63" s="2" t="s">
        <v>43</v>
      </c>
      <c r="G63" s="2" t="s">
        <v>21</v>
      </c>
      <c r="H63" s="2">
        <v>95</v>
      </c>
      <c r="I63" s="2">
        <v>1528.13</v>
      </c>
      <c r="J63" s="3">
        <f t="shared" si="1"/>
        <v>145172.35</v>
      </c>
      <c r="K63" s="2" t="s">
        <v>33</v>
      </c>
    </row>
    <row r="64" spans="1:11" x14ac:dyDescent="0.25">
      <c r="A64" s="2">
        <v>1063</v>
      </c>
      <c r="B64" s="2" t="s">
        <v>95</v>
      </c>
      <c r="C64" s="2" t="s">
        <v>24</v>
      </c>
      <c r="D64" s="2" t="s">
        <v>24</v>
      </c>
      <c r="E64" s="2" t="s">
        <v>19</v>
      </c>
      <c r="F64" s="2" t="s">
        <v>20</v>
      </c>
      <c r="G64" s="2" t="s">
        <v>37</v>
      </c>
      <c r="H64" s="2">
        <v>116</v>
      </c>
      <c r="I64" s="2">
        <v>2453.9299999999998</v>
      </c>
      <c r="J64" s="3">
        <f t="shared" si="1"/>
        <v>284655.88</v>
      </c>
      <c r="K64" s="2" t="s">
        <v>16</v>
      </c>
    </row>
    <row r="65" spans="1:11" x14ac:dyDescent="0.25">
      <c r="A65" s="2">
        <v>1064</v>
      </c>
      <c r="B65" s="2" t="s">
        <v>80</v>
      </c>
      <c r="C65" s="2" t="s">
        <v>28</v>
      </c>
      <c r="D65" s="2" t="s">
        <v>28</v>
      </c>
      <c r="E65" s="2" t="s">
        <v>19</v>
      </c>
      <c r="F65" s="2" t="s">
        <v>20</v>
      </c>
      <c r="G65" s="2" t="s">
        <v>21</v>
      </c>
      <c r="H65" s="2">
        <v>105</v>
      </c>
      <c r="I65" s="2">
        <v>2979.87</v>
      </c>
      <c r="J65" s="3">
        <f t="shared" si="1"/>
        <v>312886.34999999998</v>
      </c>
      <c r="K65" s="2" t="s">
        <v>22</v>
      </c>
    </row>
    <row r="66" spans="1:11" x14ac:dyDescent="0.25">
      <c r="A66" s="2">
        <v>1065</v>
      </c>
      <c r="B66" s="2" t="s">
        <v>66</v>
      </c>
      <c r="C66" s="2" t="s">
        <v>28</v>
      </c>
      <c r="D66" s="2" t="s">
        <v>28</v>
      </c>
      <c r="E66" s="2" t="s">
        <v>19</v>
      </c>
      <c r="F66" s="2" t="s">
        <v>20</v>
      </c>
      <c r="G66" s="2" t="s">
        <v>21</v>
      </c>
      <c r="H66" s="2">
        <v>71</v>
      </c>
      <c r="I66" s="2">
        <v>1926.56</v>
      </c>
      <c r="J66" s="3">
        <f t="shared" ref="J66:J97" si="2">H66*I66</f>
        <v>136785.76</v>
      </c>
      <c r="K66" s="2" t="s">
        <v>33</v>
      </c>
    </row>
    <row r="67" spans="1:11" x14ac:dyDescent="0.25">
      <c r="A67" s="2">
        <v>1066</v>
      </c>
      <c r="B67" s="2" t="s">
        <v>45</v>
      </c>
      <c r="C67" s="2" t="s">
        <v>30</v>
      </c>
      <c r="D67" s="2" t="s">
        <v>31</v>
      </c>
      <c r="E67" s="2" t="s">
        <v>13</v>
      </c>
      <c r="F67" s="2" t="s">
        <v>50</v>
      </c>
      <c r="G67" s="2" t="s">
        <v>37</v>
      </c>
      <c r="H67" s="2">
        <v>25</v>
      </c>
      <c r="I67" s="2">
        <v>2378.02</v>
      </c>
      <c r="J67" s="3">
        <f t="shared" si="2"/>
        <v>59450.5</v>
      </c>
      <c r="K67" s="2" t="s">
        <v>22</v>
      </c>
    </row>
    <row r="68" spans="1:11" x14ac:dyDescent="0.25">
      <c r="A68" s="2">
        <v>1067</v>
      </c>
      <c r="B68" s="2" t="s">
        <v>85</v>
      </c>
      <c r="C68" s="2" t="s">
        <v>30</v>
      </c>
      <c r="D68" s="2" t="s">
        <v>30</v>
      </c>
      <c r="E68" s="2" t="s">
        <v>35</v>
      </c>
      <c r="F68" s="2" t="s">
        <v>96</v>
      </c>
      <c r="G68" s="2" t="s">
        <v>21</v>
      </c>
      <c r="H68" s="2">
        <v>198</v>
      </c>
      <c r="I68" s="2">
        <v>203.6</v>
      </c>
      <c r="J68" s="3">
        <f t="shared" si="2"/>
        <v>40312.799999999996</v>
      </c>
      <c r="K68" s="2" t="s">
        <v>22</v>
      </c>
    </row>
    <row r="69" spans="1:11" x14ac:dyDescent="0.25">
      <c r="A69" s="2">
        <v>1068</v>
      </c>
      <c r="B69" s="2" t="s">
        <v>66</v>
      </c>
      <c r="C69" s="2" t="s">
        <v>24</v>
      </c>
      <c r="D69" s="2" t="s">
        <v>24</v>
      </c>
      <c r="E69" s="2" t="s">
        <v>55</v>
      </c>
      <c r="F69" s="2" t="s">
        <v>72</v>
      </c>
      <c r="G69" s="2" t="s">
        <v>54</v>
      </c>
      <c r="H69" s="2">
        <v>176</v>
      </c>
      <c r="I69" s="2">
        <v>616.23</v>
      </c>
      <c r="J69" s="3">
        <f t="shared" si="2"/>
        <v>108456.48000000001</v>
      </c>
      <c r="K69" s="2" t="s">
        <v>16</v>
      </c>
    </row>
    <row r="70" spans="1:11" x14ac:dyDescent="0.25">
      <c r="A70" s="2">
        <v>1069</v>
      </c>
      <c r="B70" s="2" t="s">
        <v>97</v>
      </c>
      <c r="C70" s="2" t="s">
        <v>30</v>
      </c>
      <c r="D70" s="2" t="s">
        <v>31</v>
      </c>
      <c r="E70" s="2" t="s">
        <v>55</v>
      </c>
      <c r="F70" s="2" t="s">
        <v>56</v>
      </c>
      <c r="G70" s="2" t="s">
        <v>39</v>
      </c>
      <c r="H70" s="2">
        <v>46</v>
      </c>
      <c r="I70" s="2">
        <v>4825.37</v>
      </c>
      <c r="J70" s="3">
        <f t="shared" si="2"/>
        <v>221967.02</v>
      </c>
      <c r="K70" s="2" t="s">
        <v>22</v>
      </c>
    </row>
    <row r="71" spans="1:11" x14ac:dyDescent="0.25">
      <c r="A71" s="2">
        <v>1070</v>
      </c>
      <c r="B71" s="2" t="s">
        <v>32</v>
      </c>
      <c r="C71" s="2" t="s">
        <v>30</v>
      </c>
      <c r="D71" s="2" t="s">
        <v>31</v>
      </c>
      <c r="E71" s="2" t="s">
        <v>19</v>
      </c>
      <c r="F71" s="2" t="s">
        <v>58</v>
      </c>
      <c r="G71" s="2" t="s">
        <v>15</v>
      </c>
      <c r="H71" s="2">
        <v>24</v>
      </c>
      <c r="I71" s="2">
        <v>2980.88</v>
      </c>
      <c r="J71" s="3">
        <f t="shared" si="2"/>
        <v>71541.119999999995</v>
      </c>
      <c r="K71" s="2" t="s">
        <v>22</v>
      </c>
    </row>
    <row r="72" spans="1:11" x14ac:dyDescent="0.25">
      <c r="A72" s="2">
        <v>1071</v>
      </c>
      <c r="B72" s="2" t="s">
        <v>98</v>
      </c>
      <c r="C72" s="2" t="s">
        <v>30</v>
      </c>
      <c r="D72" s="2" t="s">
        <v>30</v>
      </c>
      <c r="E72" s="2" t="s">
        <v>25</v>
      </c>
      <c r="F72" s="2" t="s">
        <v>52</v>
      </c>
      <c r="G72" s="2" t="s">
        <v>47</v>
      </c>
      <c r="H72" s="2">
        <v>141</v>
      </c>
      <c r="I72" s="2">
        <v>2170.4699999999998</v>
      </c>
      <c r="J72" s="3">
        <f t="shared" si="2"/>
        <v>306036.26999999996</v>
      </c>
      <c r="K72" s="2" t="s">
        <v>16</v>
      </c>
    </row>
    <row r="73" spans="1:11" x14ac:dyDescent="0.25">
      <c r="A73" s="2">
        <v>1072</v>
      </c>
      <c r="B73" s="2" t="s">
        <v>91</v>
      </c>
      <c r="C73" s="2" t="s">
        <v>30</v>
      </c>
      <c r="D73" s="2" t="s">
        <v>30</v>
      </c>
      <c r="E73" s="2" t="s">
        <v>19</v>
      </c>
      <c r="F73" s="2" t="s">
        <v>43</v>
      </c>
      <c r="G73" s="2" t="s">
        <v>39</v>
      </c>
      <c r="H73" s="2">
        <v>115</v>
      </c>
      <c r="I73" s="2">
        <v>4805.8999999999996</v>
      </c>
      <c r="J73" s="3">
        <f t="shared" si="2"/>
        <v>552678.5</v>
      </c>
      <c r="K73" s="2" t="s">
        <v>33</v>
      </c>
    </row>
    <row r="74" spans="1:11" x14ac:dyDescent="0.25">
      <c r="A74" s="2">
        <v>1073</v>
      </c>
      <c r="B74" s="2" t="s">
        <v>99</v>
      </c>
      <c r="C74" s="2" t="s">
        <v>41</v>
      </c>
      <c r="D74" s="2" t="s">
        <v>42</v>
      </c>
      <c r="E74" s="2" t="s">
        <v>55</v>
      </c>
      <c r="F74" s="2" t="s">
        <v>56</v>
      </c>
      <c r="G74" s="2" t="s">
        <v>37</v>
      </c>
      <c r="H74" s="2">
        <v>162</v>
      </c>
      <c r="I74" s="2">
        <v>4050.59</v>
      </c>
      <c r="J74" s="3">
        <f t="shared" si="2"/>
        <v>656195.58000000007</v>
      </c>
      <c r="K74" s="2" t="s">
        <v>33</v>
      </c>
    </row>
    <row r="75" spans="1:11" x14ac:dyDescent="0.25">
      <c r="A75" s="2">
        <v>1074</v>
      </c>
      <c r="B75" s="2" t="s">
        <v>92</v>
      </c>
      <c r="C75" s="2" t="s">
        <v>28</v>
      </c>
      <c r="D75" s="2" t="s">
        <v>29</v>
      </c>
      <c r="E75" s="2" t="s">
        <v>25</v>
      </c>
      <c r="F75" s="2" t="s">
        <v>26</v>
      </c>
      <c r="G75" s="2" t="s">
        <v>47</v>
      </c>
      <c r="H75" s="2">
        <v>67</v>
      </c>
      <c r="I75" s="2">
        <v>4162.12</v>
      </c>
      <c r="J75" s="3">
        <f t="shared" si="2"/>
        <v>278862.03999999998</v>
      </c>
      <c r="K75" s="2" t="s">
        <v>33</v>
      </c>
    </row>
    <row r="76" spans="1:11" x14ac:dyDescent="0.25">
      <c r="A76" s="2">
        <v>1075</v>
      </c>
      <c r="B76" s="2" t="s">
        <v>34</v>
      </c>
      <c r="C76" s="2" t="s">
        <v>41</v>
      </c>
      <c r="D76" s="2" t="s">
        <v>42</v>
      </c>
      <c r="E76" s="2" t="s">
        <v>25</v>
      </c>
      <c r="F76" s="2" t="s">
        <v>62</v>
      </c>
      <c r="G76" s="2" t="s">
        <v>64</v>
      </c>
      <c r="H76" s="2">
        <v>91</v>
      </c>
      <c r="I76" s="2">
        <v>192.06</v>
      </c>
      <c r="J76" s="3">
        <f t="shared" si="2"/>
        <v>17477.46</v>
      </c>
      <c r="K76" s="2" t="s">
        <v>33</v>
      </c>
    </row>
    <row r="77" spans="1:11" x14ac:dyDescent="0.25">
      <c r="A77" s="2">
        <v>1076</v>
      </c>
      <c r="B77" s="2" t="s">
        <v>100</v>
      </c>
      <c r="C77" s="2" t="s">
        <v>41</v>
      </c>
      <c r="D77" s="2" t="s">
        <v>42</v>
      </c>
      <c r="E77" s="2" t="s">
        <v>13</v>
      </c>
      <c r="F77" s="2" t="s">
        <v>50</v>
      </c>
      <c r="G77" s="2" t="s">
        <v>37</v>
      </c>
      <c r="H77" s="2">
        <v>157</v>
      </c>
      <c r="I77" s="2">
        <v>3520.86</v>
      </c>
      <c r="J77" s="3">
        <f t="shared" si="2"/>
        <v>552775.02</v>
      </c>
      <c r="K77" s="2" t="s">
        <v>22</v>
      </c>
    </row>
    <row r="78" spans="1:11" x14ac:dyDescent="0.25">
      <c r="A78" s="2">
        <v>1077</v>
      </c>
      <c r="B78" s="2" t="s">
        <v>60</v>
      </c>
      <c r="C78" s="2" t="s">
        <v>24</v>
      </c>
      <c r="D78" s="2" t="s">
        <v>24</v>
      </c>
      <c r="E78" s="2" t="s">
        <v>35</v>
      </c>
      <c r="F78" s="2" t="s">
        <v>48</v>
      </c>
      <c r="G78" s="2" t="s">
        <v>64</v>
      </c>
      <c r="H78" s="2">
        <v>130</v>
      </c>
      <c r="I78" s="2">
        <v>2798.12</v>
      </c>
      <c r="J78" s="3">
        <f t="shared" si="2"/>
        <v>363755.6</v>
      </c>
      <c r="K78" s="2" t="s">
        <v>33</v>
      </c>
    </row>
    <row r="79" spans="1:11" x14ac:dyDescent="0.25">
      <c r="A79" s="2">
        <v>1078</v>
      </c>
      <c r="B79" s="2" t="s">
        <v>86</v>
      </c>
      <c r="C79" s="2" t="s">
        <v>28</v>
      </c>
      <c r="D79" s="2" t="s">
        <v>29</v>
      </c>
      <c r="E79" s="2" t="s">
        <v>35</v>
      </c>
      <c r="F79" s="2" t="s">
        <v>48</v>
      </c>
      <c r="G79" s="2" t="s">
        <v>37</v>
      </c>
      <c r="H79" s="2">
        <v>61</v>
      </c>
      <c r="I79" s="2">
        <v>2051.79</v>
      </c>
      <c r="J79" s="3">
        <f t="shared" si="2"/>
        <v>125159.19</v>
      </c>
      <c r="K79" s="2" t="s">
        <v>16</v>
      </c>
    </row>
    <row r="80" spans="1:11" x14ac:dyDescent="0.25">
      <c r="A80" s="2">
        <v>1079</v>
      </c>
      <c r="B80" s="2" t="s">
        <v>73</v>
      </c>
      <c r="C80" s="2" t="s">
        <v>24</v>
      </c>
      <c r="D80" s="2" t="s">
        <v>24</v>
      </c>
      <c r="E80" s="2" t="s">
        <v>19</v>
      </c>
      <c r="F80" s="2" t="s">
        <v>58</v>
      </c>
      <c r="G80" s="2" t="s">
        <v>47</v>
      </c>
      <c r="H80" s="2">
        <v>113</v>
      </c>
      <c r="I80" s="2">
        <v>4983.33</v>
      </c>
      <c r="J80" s="3">
        <f t="shared" si="2"/>
        <v>563116.29</v>
      </c>
      <c r="K80" s="2" t="s">
        <v>33</v>
      </c>
    </row>
    <row r="81" spans="1:11" x14ac:dyDescent="0.25">
      <c r="A81" s="2">
        <v>1080</v>
      </c>
      <c r="B81" s="2" t="s">
        <v>59</v>
      </c>
      <c r="C81" s="2" t="s">
        <v>28</v>
      </c>
      <c r="D81" s="2" t="s">
        <v>29</v>
      </c>
      <c r="E81" s="2" t="s">
        <v>13</v>
      </c>
      <c r="F81" s="2" t="s">
        <v>50</v>
      </c>
      <c r="G81" s="2" t="s">
        <v>15</v>
      </c>
      <c r="H81" s="2">
        <v>35</v>
      </c>
      <c r="I81" s="2">
        <v>3620.36</v>
      </c>
      <c r="J81" s="3">
        <f t="shared" si="2"/>
        <v>126712.6</v>
      </c>
      <c r="K81" s="2" t="s">
        <v>16</v>
      </c>
    </row>
    <row r="82" spans="1:11" x14ac:dyDescent="0.25">
      <c r="A82" s="2">
        <v>1081</v>
      </c>
      <c r="B82" s="2" t="s">
        <v>17</v>
      </c>
      <c r="C82" s="2" t="s">
        <v>24</v>
      </c>
      <c r="D82" s="2" t="s">
        <v>24</v>
      </c>
      <c r="E82" s="2" t="s">
        <v>55</v>
      </c>
      <c r="F82" s="2" t="s">
        <v>72</v>
      </c>
      <c r="G82" s="2" t="s">
        <v>54</v>
      </c>
      <c r="H82" s="2">
        <v>75</v>
      </c>
      <c r="I82" s="2">
        <v>3636.7</v>
      </c>
      <c r="J82" s="3">
        <f t="shared" si="2"/>
        <v>272752.5</v>
      </c>
      <c r="K82" s="2" t="s">
        <v>33</v>
      </c>
    </row>
    <row r="83" spans="1:11" x14ac:dyDescent="0.25">
      <c r="A83" s="2">
        <v>1082</v>
      </c>
      <c r="B83" s="2" t="s">
        <v>45</v>
      </c>
      <c r="C83" s="2" t="s">
        <v>12</v>
      </c>
      <c r="D83" s="2" t="s">
        <v>12</v>
      </c>
      <c r="E83" s="2" t="s">
        <v>13</v>
      </c>
      <c r="F83" s="2" t="s">
        <v>14</v>
      </c>
      <c r="G83" s="2" t="s">
        <v>47</v>
      </c>
      <c r="H83" s="2">
        <v>50</v>
      </c>
      <c r="I83" s="2">
        <v>1546.22</v>
      </c>
      <c r="J83" s="3">
        <f t="shared" si="2"/>
        <v>77311</v>
      </c>
      <c r="K83" s="2" t="s">
        <v>22</v>
      </c>
    </row>
    <row r="84" spans="1:11" x14ac:dyDescent="0.25">
      <c r="A84" s="2">
        <v>1083</v>
      </c>
      <c r="B84" s="2" t="s">
        <v>89</v>
      </c>
      <c r="C84" s="2" t="s">
        <v>30</v>
      </c>
      <c r="D84" s="2" t="s">
        <v>30</v>
      </c>
      <c r="E84" s="2" t="s">
        <v>35</v>
      </c>
      <c r="F84" s="2" t="s">
        <v>96</v>
      </c>
      <c r="G84" s="2" t="s">
        <v>37</v>
      </c>
      <c r="H84" s="2">
        <v>183</v>
      </c>
      <c r="I84" s="2">
        <v>4723.24</v>
      </c>
      <c r="J84" s="3">
        <f t="shared" si="2"/>
        <v>864352.91999999993</v>
      </c>
      <c r="K84" s="2" t="s">
        <v>33</v>
      </c>
    </row>
    <row r="85" spans="1:11" x14ac:dyDescent="0.25">
      <c r="A85" s="2">
        <v>1084</v>
      </c>
      <c r="B85" s="2" t="s">
        <v>70</v>
      </c>
      <c r="C85" s="2" t="s">
        <v>12</v>
      </c>
      <c r="D85" s="2" t="s">
        <v>12</v>
      </c>
      <c r="E85" s="2" t="s">
        <v>25</v>
      </c>
      <c r="F85" s="2" t="s">
        <v>26</v>
      </c>
      <c r="G85" s="2" t="s">
        <v>54</v>
      </c>
      <c r="H85" s="2">
        <v>127</v>
      </c>
      <c r="I85" s="2">
        <v>2230.3200000000002</v>
      </c>
      <c r="J85" s="3">
        <f t="shared" si="2"/>
        <v>283250.64</v>
      </c>
      <c r="K85" s="2" t="s">
        <v>33</v>
      </c>
    </row>
    <row r="86" spans="1:11" x14ac:dyDescent="0.25">
      <c r="A86" s="2">
        <v>1085</v>
      </c>
      <c r="B86" s="2" t="s">
        <v>63</v>
      </c>
      <c r="C86" s="2" t="s">
        <v>28</v>
      </c>
      <c r="D86" s="2" t="s">
        <v>28</v>
      </c>
      <c r="E86" s="2" t="s">
        <v>35</v>
      </c>
      <c r="F86" s="2" t="s">
        <v>36</v>
      </c>
      <c r="G86" s="2" t="s">
        <v>54</v>
      </c>
      <c r="H86" s="2">
        <v>23</v>
      </c>
      <c r="I86" s="2">
        <v>2906.25</v>
      </c>
      <c r="J86" s="3">
        <f t="shared" si="2"/>
        <v>66843.75</v>
      </c>
      <c r="K86" s="2" t="s">
        <v>22</v>
      </c>
    </row>
    <row r="87" spans="1:11" x14ac:dyDescent="0.25">
      <c r="A87" s="2">
        <v>1086</v>
      </c>
      <c r="B87" s="2" t="s">
        <v>17</v>
      </c>
      <c r="C87" s="2" t="s">
        <v>41</v>
      </c>
      <c r="D87" s="2" t="s">
        <v>42</v>
      </c>
      <c r="E87" s="2" t="s">
        <v>35</v>
      </c>
      <c r="F87" s="2" t="s">
        <v>48</v>
      </c>
      <c r="G87" s="2" t="s">
        <v>39</v>
      </c>
      <c r="H87" s="2">
        <v>147</v>
      </c>
      <c r="I87" s="2">
        <v>3834</v>
      </c>
      <c r="J87" s="3">
        <f t="shared" si="2"/>
        <v>563598</v>
      </c>
      <c r="K87" s="2" t="s">
        <v>16</v>
      </c>
    </row>
    <row r="88" spans="1:11" x14ac:dyDescent="0.25">
      <c r="A88" s="2">
        <v>1087</v>
      </c>
      <c r="B88" s="2" t="s">
        <v>101</v>
      </c>
      <c r="C88" s="2" t="s">
        <v>41</v>
      </c>
      <c r="D88" s="2" t="s">
        <v>42</v>
      </c>
      <c r="E88" s="2" t="s">
        <v>19</v>
      </c>
      <c r="F88" s="2" t="s">
        <v>43</v>
      </c>
      <c r="G88" s="2" t="s">
        <v>37</v>
      </c>
      <c r="H88" s="2">
        <v>155</v>
      </c>
      <c r="I88" s="2">
        <v>4950.6499999999996</v>
      </c>
      <c r="J88" s="3">
        <f t="shared" si="2"/>
        <v>767350.75</v>
      </c>
      <c r="K88" s="2" t="s">
        <v>16</v>
      </c>
    </row>
    <row r="89" spans="1:11" x14ac:dyDescent="0.25">
      <c r="A89" s="2">
        <v>1088</v>
      </c>
      <c r="B89" s="2" t="s">
        <v>40</v>
      </c>
      <c r="C89" s="2" t="s">
        <v>12</v>
      </c>
      <c r="D89" s="2" t="s">
        <v>18</v>
      </c>
      <c r="E89" s="2" t="s">
        <v>35</v>
      </c>
      <c r="F89" s="2" t="s">
        <v>48</v>
      </c>
      <c r="G89" s="2" t="s">
        <v>15</v>
      </c>
      <c r="H89" s="2">
        <v>72</v>
      </c>
      <c r="I89" s="2">
        <v>3319.12</v>
      </c>
      <c r="J89" s="3">
        <f t="shared" si="2"/>
        <v>238976.63999999998</v>
      </c>
      <c r="K89" s="2" t="s">
        <v>22</v>
      </c>
    </row>
    <row r="90" spans="1:11" x14ac:dyDescent="0.25">
      <c r="A90" s="2">
        <v>1089</v>
      </c>
      <c r="B90" s="2" t="s">
        <v>102</v>
      </c>
      <c r="C90" s="2" t="s">
        <v>24</v>
      </c>
      <c r="D90" s="2" t="s">
        <v>24</v>
      </c>
      <c r="E90" s="2" t="s">
        <v>55</v>
      </c>
      <c r="F90" s="2" t="s">
        <v>72</v>
      </c>
      <c r="G90" s="2" t="s">
        <v>64</v>
      </c>
      <c r="H90" s="2">
        <v>120</v>
      </c>
      <c r="I90" s="2">
        <v>3462.39</v>
      </c>
      <c r="J90" s="3">
        <f t="shared" si="2"/>
        <v>415486.8</v>
      </c>
      <c r="K90" s="2" t="s">
        <v>22</v>
      </c>
    </row>
    <row r="91" spans="1:11" x14ac:dyDescent="0.25">
      <c r="A91" s="2">
        <v>1090</v>
      </c>
      <c r="B91" s="2" t="s">
        <v>103</v>
      </c>
      <c r="C91" s="2" t="s">
        <v>41</v>
      </c>
      <c r="D91" s="2" t="s">
        <v>42</v>
      </c>
      <c r="E91" s="2" t="s">
        <v>13</v>
      </c>
      <c r="F91" s="2" t="s">
        <v>38</v>
      </c>
      <c r="G91" s="2" t="s">
        <v>54</v>
      </c>
      <c r="H91" s="2">
        <v>23</v>
      </c>
      <c r="I91" s="2">
        <v>3452.56</v>
      </c>
      <c r="J91" s="3">
        <f t="shared" si="2"/>
        <v>79408.88</v>
      </c>
      <c r="K91" s="2" t="s">
        <v>16</v>
      </c>
    </row>
    <row r="92" spans="1:11" x14ac:dyDescent="0.25">
      <c r="A92" s="2">
        <v>1091</v>
      </c>
      <c r="B92" s="2" t="s">
        <v>53</v>
      </c>
      <c r="C92" s="2" t="s">
        <v>24</v>
      </c>
      <c r="D92" s="2" t="s">
        <v>24</v>
      </c>
      <c r="E92" s="2" t="s">
        <v>19</v>
      </c>
      <c r="F92" s="2" t="s">
        <v>20</v>
      </c>
      <c r="G92" s="2" t="s">
        <v>15</v>
      </c>
      <c r="H92" s="2">
        <v>170</v>
      </c>
      <c r="I92" s="2">
        <v>787.5</v>
      </c>
      <c r="J92" s="3">
        <f t="shared" si="2"/>
        <v>133875</v>
      </c>
      <c r="K92" s="2" t="s">
        <v>22</v>
      </c>
    </row>
    <row r="93" spans="1:11" x14ac:dyDescent="0.25">
      <c r="A93" s="2">
        <v>1092</v>
      </c>
      <c r="B93" s="2" t="s">
        <v>104</v>
      </c>
      <c r="C93" s="2" t="s">
        <v>12</v>
      </c>
      <c r="D93" s="2" t="s">
        <v>12</v>
      </c>
      <c r="E93" s="2" t="s">
        <v>55</v>
      </c>
      <c r="F93" s="2" t="s">
        <v>67</v>
      </c>
      <c r="G93" s="2" t="s">
        <v>37</v>
      </c>
      <c r="H93" s="2">
        <v>117</v>
      </c>
      <c r="I93" s="2">
        <v>665.55</v>
      </c>
      <c r="J93" s="3">
        <f t="shared" si="2"/>
        <v>77869.349999999991</v>
      </c>
      <c r="K93" s="2" t="s">
        <v>16</v>
      </c>
    </row>
    <row r="94" spans="1:11" x14ac:dyDescent="0.25">
      <c r="A94" s="2">
        <v>1093</v>
      </c>
      <c r="B94" s="2" t="s">
        <v>68</v>
      </c>
      <c r="C94" s="2" t="s">
        <v>28</v>
      </c>
      <c r="D94" s="2" t="s">
        <v>29</v>
      </c>
      <c r="E94" s="2" t="s">
        <v>25</v>
      </c>
      <c r="F94" s="2" t="s">
        <v>62</v>
      </c>
      <c r="G94" s="2" t="s">
        <v>54</v>
      </c>
      <c r="H94" s="2">
        <v>117</v>
      </c>
      <c r="I94" s="2">
        <v>448.19</v>
      </c>
      <c r="J94" s="3">
        <f t="shared" si="2"/>
        <v>52438.23</v>
      </c>
      <c r="K94" s="2" t="s">
        <v>16</v>
      </c>
    </row>
    <row r="95" spans="1:11" x14ac:dyDescent="0.25">
      <c r="A95" s="2">
        <v>1094</v>
      </c>
      <c r="B95" s="2" t="s">
        <v>105</v>
      </c>
      <c r="C95" s="2" t="s">
        <v>30</v>
      </c>
      <c r="D95" s="2" t="s">
        <v>31</v>
      </c>
      <c r="E95" s="2" t="s">
        <v>35</v>
      </c>
      <c r="F95" s="2" t="s">
        <v>48</v>
      </c>
      <c r="G95" s="2" t="s">
        <v>15</v>
      </c>
      <c r="H95" s="2">
        <v>177</v>
      </c>
      <c r="I95" s="2">
        <v>4188</v>
      </c>
      <c r="J95" s="3">
        <f t="shared" si="2"/>
        <v>741276</v>
      </c>
      <c r="K95" s="2" t="s">
        <v>22</v>
      </c>
    </row>
    <row r="96" spans="1:11" x14ac:dyDescent="0.25">
      <c r="A96" s="2">
        <v>1095</v>
      </c>
      <c r="B96" s="2" t="s">
        <v>57</v>
      </c>
      <c r="C96" s="2" t="s">
        <v>30</v>
      </c>
      <c r="D96" s="2" t="s">
        <v>30</v>
      </c>
      <c r="E96" s="2" t="s">
        <v>55</v>
      </c>
      <c r="F96" s="2" t="s">
        <v>67</v>
      </c>
      <c r="G96" s="2" t="s">
        <v>54</v>
      </c>
      <c r="H96" s="2">
        <v>76</v>
      </c>
      <c r="I96" s="2">
        <v>948.37</v>
      </c>
      <c r="J96" s="3">
        <f t="shared" si="2"/>
        <v>72076.12</v>
      </c>
      <c r="K96" s="2" t="s">
        <v>16</v>
      </c>
    </row>
    <row r="97" spans="1:11" x14ac:dyDescent="0.25">
      <c r="A97" s="2">
        <v>1096</v>
      </c>
      <c r="B97" s="2" t="s">
        <v>106</v>
      </c>
      <c r="C97" s="2" t="s">
        <v>28</v>
      </c>
      <c r="D97" s="2" t="s">
        <v>28</v>
      </c>
      <c r="E97" s="2" t="s">
        <v>19</v>
      </c>
      <c r="F97" s="2" t="s">
        <v>43</v>
      </c>
      <c r="G97" s="2" t="s">
        <v>64</v>
      </c>
      <c r="H97" s="2">
        <v>90</v>
      </c>
      <c r="I97" s="2">
        <v>1639.24</v>
      </c>
      <c r="J97" s="3">
        <f t="shared" si="2"/>
        <v>147531.6</v>
      </c>
      <c r="K97" s="2" t="s">
        <v>22</v>
      </c>
    </row>
    <row r="98" spans="1:11" x14ac:dyDescent="0.25">
      <c r="A98" s="2">
        <v>1097</v>
      </c>
      <c r="B98" s="2" t="s">
        <v>98</v>
      </c>
      <c r="C98" s="2" t="s">
        <v>30</v>
      </c>
      <c r="D98" s="2" t="s">
        <v>31</v>
      </c>
      <c r="E98" s="2" t="s">
        <v>19</v>
      </c>
      <c r="F98" s="2" t="s">
        <v>43</v>
      </c>
      <c r="G98" s="2" t="s">
        <v>64</v>
      </c>
      <c r="H98" s="2">
        <v>199</v>
      </c>
      <c r="I98" s="2">
        <v>2772.98</v>
      </c>
      <c r="J98" s="3">
        <f t="shared" ref="J98:J129" si="3">H98*I98</f>
        <v>551823.02</v>
      </c>
      <c r="K98" s="2" t="s">
        <v>33</v>
      </c>
    </row>
    <row r="99" spans="1:11" x14ac:dyDescent="0.25">
      <c r="A99" s="2">
        <v>1098</v>
      </c>
      <c r="B99" s="2" t="s">
        <v>107</v>
      </c>
      <c r="C99" s="2" t="s">
        <v>30</v>
      </c>
      <c r="D99" s="2" t="s">
        <v>31</v>
      </c>
      <c r="E99" s="2" t="s">
        <v>35</v>
      </c>
      <c r="F99" s="2" t="s">
        <v>36</v>
      </c>
      <c r="G99" s="2" t="s">
        <v>21</v>
      </c>
      <c r="H99" s="2">
        <v>173</v>
      </c>
      <c r="I99" s="2">
        <v>4353.37</v>
      </c>
      <c r="J99" s="3">
        <f t="shared" si="3"/>
        <v>753133.01</v>
      </c>
      <c r="K99" s="2" t="s">
        <v>22</v>
      </c>
    </row>
    <row r="100" spans="1:11" x14ac:dyDescent="0.25">
      <c r="A100" s="2">
        <v>1099</v>
      </c>
      <c r="B100" s="2" t="s">
        <v>100</v>
      </c>
      <c r="C100" s="2" t="s">
        <v>41</v>
      </c>
      <c r="D100" s="2" t="s">
        <v>42</v>
      </c>
      <c r="E100" s="2" t="s">
        <v>25</v>
      </c>
      <c r="F100" s="2" t="s">
        <v>26</v>
      </c>
      <c r="G100" s="2" t="s">
        <v>54</v>
      </c>
      <c r="H100" s="2">
        <v>199</v>
      </c>
      <c r="I100" s="2">
        <v>305.48</v>
      </c>
      <c r="J100" s="3">
        <f t="shared" si="3"/>
        <v>60790.520000000004</v>
      </c>
      <c r="K100" s="2" t="s">
        <v>22</v>
      </c>
    </row>
    <row r="101" spans="1:11" x14ac:dyDescent="0.25">
      <c r="A101" s="2">
        <v>1100</v>
      </c>
      <c r="B101" s="2" t="s">
        <v>60</v>
      </c>
      <c r="C101" s="2" t="s">
        <v>30</v>
      </c>
      <c r="D101" s="2" t="s">
        <v>31</v>
      </c>
      <c r="E101" s="2" t="s">
        <v>19</v>
      </c>
      <c r="F101" s="2" t="s">
        <v>20</v>
      </c>
      <c r="G101" s="2" t="s">
        <v>21</v>
      </c>
      <c r="H101" s="2">
        <v>166</v>
      </c>
      <c r="I101" s="2">
        <v>3063.91</v>
      </c>
      <c r="J101" s="3">
        <f t="shared" si="3"/>
        <v>508609.06</v>
      </c>
      <c r="K101" s="2" t="s">
        <v>22</v>
      </c>
    </row>
    <row r="102" spans="1:11" x14ac:dyDescent="0.25">
      <c r="A102" s="2">
        <v>1101</v>
      </c>
      <c r="B102" s="2" t="s">
        <v>66</v>
      </c>
      <c r="C102" s="2" t="s">
        <v>30</v>
      </c>
      <c r="D102" s="2" t="s">
        <v>30</v>
      </c>
      <c r="E102" s="2" t="s">
        <v>25</v>
      </c>
      <c r="F102" s="2" t="s">
        <v>26</v>
      </c>
      <c r="G102" s="2" t="s">
        <v>39</v>
      </c>
      <c r="H102" s="2">
        <v>62</v>
      </c>
      <c r="I102" s="2">
        <v>4961.67</v>
      </c>
      <c r="J102" s="3">
        <f t="shared" si="3"/>
        <v>307623.53999999998</v>
      </c>
      <c r="K102" s="2" t="s">
        <v>22</v>
      </c>
    </row>
    <row r="103" spans="1:11" x14ac:dyDescent="0.25">
      <c r="A103" s="2">
        <v>1102</v>
      </c>
      <c r="B103" s="2" t="s">
        <v>108</v>
      </c>
      <c r="C103" s="2" t="s">
        <v>41</v>
      </c>
      <c r="D103" s="2" t="s">
        <v>42</v>
      </c>
      <c r="E103" s="2" t="s">
        <v>13</v>
      </c>
      <c r="F103" s="2" t="s">
        <v>38</v>
      </c>
      <c r="G103" s="2" t="s">
        <v>37</v>
      </c>
      <c r="H103" s="2">
        <v>111</v>
      </c>
      <c r="I103" s="2">
        <v>4181.88</v>
      </c>
      <c r="J103" s="3">
        <f t="shared" si="3"/>
        <v>464188.68</v>
      </c>
      <c r="K103" s="2" t="s">
        <v>33</v>
      </c>
    </row>
    <row r="104" spans="1:11" x14ac:dyDescent="0.25">
      <c r="A104" s="2">
        <v>1103</v>
      </c>
      <c r="B104" s="2" t="s">
        <v>95</v>
      </c>
      <c r="C104" s="2" t="s">
        <v>24</v>
      </c>
      <c r="D104" s="2" t="s">
        <v>24</v>
      </c>
      <c r="E104" s="2" t="s">
        <v>19</v>
      </c>
      <c r="F104" s="2" t="s">
        <v>20</v>
      </c>
      <c r="G104" s="2" t="s">
        <v>49</v>
      </c>
      <c r="H104" s="2">
        <v>22</v>
      </c>
      <c r="I104" s="2">
        <v>1417.42</v>
      </c>
      <c r="J104" s="3">
        <f t="shared" si="3"/>
        <v>31183.24</v>
      </c>
      <c r="K104" s="2" t="s">
        <v>16</v>
      </c>
    </row>
    <row r="105" spans="1:11" x14ac:dyDescent="0.25">
      <c r="A105" s="2">
        <v>1104</v>
      </c>
      <c r="B105" s="2" t="s">
        <v>109</v>
      </c>
      <c r="C105" s="2" t="s">
        <v>30</v>
      </c>
      <c r="D105" s="2" t="s">
        <v>30</v>
      </c>
      <c r="E105" s="2" t="s">
        <v>13</v>
      </c>
      <c r="F105" s="2" t="s">
        <v>38</v>
      </c>
      <c r="G105" s="2" t="s">
        <v>37</v>
      </c>
      <c r="H105" s="2">
        <v>155</v>
      </c>
      <c r="I105" s="2">
        <v>2920.62</v>
      </c>
      <c r="J105" s="3">
        <f t="shared" si="3"/>
        <v>452696.1</v>
      </c>
      <c r="K105" s="2" t="s">
        <v>22</v>
      </c>
    </row>
    <row r="106" spans="1:11" x14ac:dyDescent="0.25">
      <c r="A106" s="2">
        <v>1105</v>
      </c>
      <c r="B106" s="2" t="s">
        <v>60</v>
      </c>
      <c r="C106" s="2" t="s">
        <v>28</v>
      </c>
      <c r="D106" s="2" t="s">
        <v>29</v>
      </c>
      <c r="E106" s="2" t="s">
        <v>13</v>
      </c>
      <c r="F106" s="2" t="s">
        <v>50</v>
      </c>
      <c r="G106" s="2" t="s">
        <v>64</v>
      </c>
      <c r="H106" s="2">
        <v>121</v>
      </c>
      <c r="I106" s="2">
        <v>4667.62</v>
      </c>
      <c r="J106" s="3">
        <f t="shared" si="3"/>
        <v>564782.02</v>
      </c>
      <c r="K106" s="2" t="s">
        <v>22</v>
      </c>
    </row>
    <row r="107" spans="1:11" x14ac:dyDescent="0.25">
      <c r="A107" s="2">
        <v>1106</v>
      </c>
      <c r="B107" s="2" t="s">
        <v>110</v>
      </c>
      <c r="C107" s="2" t="s">
        <v>24</v>
      </c>
      <c r="D107" s="2" t="s">
        <v>24</v>
      </c>
      <c r="E107" s="2" t="s">
        <v>55</v>
      </c>
      <c r="F107" s="2" t="s">
        <v>67</v>
      </c>
      <c r="G107" s="2" t="s">
        <v>21</v>
      </c>
      <c r="H107" s="2">
        <v>86</v>
      </c>
      <c r="I107" s="2">
        <v>3736.29</v>
      </c>
      <c r="J107" s="3">
        <f t="shared" si="3"/>
        <v>321320.94</v>
      </c>
      <c r="K107" s="2" t="s">
        <v>33</v>
      </c>
    </row>
    <row r="108" spans="1:11" x14ac:dyDescent="0.25">
      <c r="A108" s="2">
        <v>1107</v>
      </c>
      <c r="B108" s="2" t="s">
        <v>94</v>
      </c>
      <c r="C108" s="2" t="s">
        <v>28</v>
      </c>
      <c r="D108" s="2" t="s">
        <v>28</v>
      </c>
      <c r="E108" s="2" t="s">
        <v>19</v>
      </c>
      <c r="F108" s="2" t="s">
        <v>20</v>
      </c>
      <c r="G108" s="2" t="s">
        <v>49</v>
      </c>
      <c r="H108" s="2">
        <v>133</v>
      </c>
      <c r="I108" s="2">
        <v>4828.5</v>
      </c>
      <c r="J108" s="3">
        <f t="shared" si="3"/>
        <v>642190.5</v>
      </c>
      <c r="K108" s="2" t="s">
        <v>22</v>
      </c>
    </row>
    <row r="109" spans="1:11" x14ac:dyDescent="0.25">
      <c r="A109" s="2">
        <v>1108</v>
      </c>
      <c r="B109" s="2" t="s">
        <v>111</v>
      </c>
      <c r="C109" s="2" t="s">
        <v>28</v>
      </c>
      <c r="D109" s="2" t="s">
        <v>28</v>
      </c>
      <c r="E109" s="2" t="s">
        <v>25</v>
      </c>
      <c r="F109" s="2" t="s">
        <v>26</v>
      </c>
      <c r="G109" s="2" t="s">
        <v>21</v>
      </c>
      <c r="H109" s="2">
        <v>189</v>
      </c>
      <c r="I109" s="2">
        <v>763.57</v>
      </c>
      <c r="J109" s="3">
        <f t="shared" si="3"/>
        <v>144314.73000000001</v>
      </c>
      <c r="K109" s="2" t="s">
        <v>22</v>
      </c>
    </row>
    <row r="110" spans="1:11" x14ac:dyDescent="0.25">
      <c r="A110" s="2">
        <v>1109</v>
      </c>
      <c r="B110" s="2" t="s">
        <v>94</v>
      </c>
      <c r="C110" s="2" t="s">
        <v>28</v>
      </c>
      <c r="D110" s="2" t="s">
        <v>29</v>
      </c>
      <c r="E110" s="2" t="s">
        <v>13</v>
      </c>
      <c r="F110" s="2" t="s">
        <v>38</v>
      </c>
      <c r="G110" s="2" t="s">
        <v>64</v>
      </c>
      <c r="H110" s="2">
        <v>171</v>
      </c>
      <c r="I110" s="2">
        <v>447.56</v>
      </c>
      <c r="J110" s="3">
        <f t="shared" si="3"/>
        <v>76532.759999999995</v>
      </c>
      <c r="K110" s="2" t="s">
        <v>16</v>
      </c>
    </row>
    <row r="111" spans="1:11" x14ac:dyDescent="0.25">
      <c r="A111" s="2">
        <v>1110</v>
      </c>
      <c r="B111" s="2" t="s">
        <v>40</v>
      </c>
      <c r="C111" s="2" t="s">
        <v>24</v>
      </c>
      <c r="D111" s="2" t="s">
        <v>24</v>
      </c>
      <c r="E111" s="2" t="s">
        <v>13</v>
      </c>
      <c r="F111" s="2" t="s">
        <v>38</v>
      </c>
      <c r="G111" s="2" t="s">
        <v>54</v>
      </c>
      <c r="H111" s="2">
        <v>143</v>
      </c>
      <c r="I111" s="2">
        <v>227.7</v>
      </c>
      <c r="J111" s="3">
        <f t="shared" si="3"/>
        <v>32561.1</v>
      </c>
      <c r="K111" s="2" t="s">
        <v>16</v>
      </c>
    </row>
    <row r="112" spans="1:11" x14ac:dyDescent="0.25">
      <c r="A112" s="2">
        <v>1111</v>
      </c>
      <c r="B112" s="2" t="s">
        <v>66</v>
      </c>
      <c r="C112" s="2" t="s">
        <v>30</v>
      </c>
      <c r="D112" s="2" t="s">
        <v>30</v>
      </c>
      <c r="E112" s="2" t="s">
        <v>35</v>
      </c>
      <c r="F112" s="2" t="s">
        <v>36</v>
      </c>
      <c r="G112" s="2" t="s">
        <v>39</v>
      </c>
      <c r="H112" s="2">
        <v>199</v>
      </c>
      <c r="I112" s="2">
        <v>3187.05</v>
      </c>
      <c r="J112" s="3">
        <f t="shared" si="3"/>
        <v>634222.95000000007</v>
      </c>
      <c r="K112" s="2" t="s">
        <v>22</v>
      </c>
    </row>
    <row r="113" spans="1:11" x14ac:dyDescent="0.25">
      <c r="A113" s="2">
        <v>1112</v>
      </c>
      <c r="B113" s="2" t="s">
        <v>112</v>
      </c>
      <c r="C113" s="2" t="s">
        <v>30</v>
      </c>
      <c r="D113" s="2" t="s">
        <v>30</v>
      </c>
      <c r="E113" s="2" t="s">
        <v>35</v>
      </c>
      <c r="F113" s="2" t="s">
        <v>36</v>
      </c>
      <c r="G113" s="2" t="s">
        <v>21</v>
      </c>
      <c r="H113" s="2">
        <v>80</v>
      </c>
      <c r="I113" s="2">
        <v>1824.39</v>
      </c>
      <c r="J113" s="3">
        <f t="shared" si="3"/>
        <v>145951.20000000001</v>
      </c>
      <c r="K113" s="2" t="s">
        <v>22</v>
      </c>
    </row>
    <row r="114" spans="1:11" x14ac:dyDescent="0.25">
      <c r="A114" s="2">
        <v>1113</v>
      </c>
      <c r="B114" s="2" t="s">
        <v>89</v>
      </c>
      <c r="C114" s="2" t="s">
        <v>24</v>
      </c>
      <c r="D114" s="2" t="s">
        <v>24</v>
      </c>
      <c r="E114" s="2" t="s">
        <v>25</v>
      </c>
      <c r="F114" s="2" t="s">
        <v>62</v>
      </c>
      <c r="G114" s="2" t="s">
        <v>49</v>
      </c>
      <c r="H114" s="2">
        <v>48</v>
      </c>
      <c r="I114" s="2">
        <v>916.59</v>
      </c>
      <c r="J114" s="3">
        <f t="shared" si="3"/>
        <v>43996.32</v>
      </c>
      <c r="K114" s="2" t="s">
        <v>33</v>
      </c>
    </row>
    <row r="115" spans="1:11" x14ac:dyDescent="0.25">
      <c r="A115" s="2">
        <v>1114</v>
      </c>
      <c r="B115" s="2" t="s">
        <v>74</v>
      </c>
      <c r="C115" s="2" t="s">
        <v>24</v>
      </c>
      <c r="D115" s="2" t="s">
        <v>24</v>
      </c>
      <c r="E115" s="2" t="s">
        <v>19</v>
      </c>
      <c r="F115" s="2" t="s">
        <v>58</v>
      </c>
      <c r="G115" s="2" t="s">
        <v>49</v>
      </c>
      <c r="H115" s="2">
        <v>64</v>
      </c>
      <c r="I115" s="2">
        <v>2332.69</v>
      </c>
      <c r="J115" s="3">
        <f t="shared" si="3"/>
        <v>149292.16</v>
      </c>
      <c r="K115" s="2" t="s">
        <v>33</v>
      </c>
    </row>
    <row r="116" spans="1:11" x14ac:dyDescent="0.25">
      <c r="A116" s="2">
        <v>1115</v>
      </c>
      <c r="B116" s="2" t="s">
        <v>101</v>
      </c>
      <c r="C116" s="2" t="s">
        <v>12</v>
      </c>
      <c r="D116" s="2" t="s">
        <v>82</v>
      </c>
      <c r="E116" s="2" t="s">
        <v>13</v>
      </c>
      <c r="F116" s="2" t="s">
        <v>38</v>
      </c>
      <c r="G116" s="2" t="s">
        <v>49</v>
      </c>
      <c r="H116" s="2">
        <v>23</v>
      </c>
      <c r="I116" s="2">
        <v>2236.56</v>
      </c>
      <c r="J116" s="3">
        <f t="shared" si="3"/>
        <v>51440.88</v>
      </c>
      <c r="K116" s="2" t="s">
        <v>33</v>
      </c>
    </row>
    <row r="117" spans="1:11" x14ac:dyDescent="0.25">
      <c r="A117" s="2">
        <v>1116</v>
      </c>
      <c r="B117" s="2" t="s">
        <v>40</v>
      </c>
      <c r="C117" s="2" t="s">
        <v>28</v>
      </c>
      <c r="D117" s="2" t="s">
        <v>29</v>
      </c>
      <c r="E117" s="2" t="s">
        <v>19</v>
      </c>
      <c r="F117" s="2" t="s">
        <v>43</v>
      </c>
      <c r="G117" s="2" t="s">
        <v>15</v>
      </c>
      <c r="H117" s="2">
        <v>103</v>
      </c>
      <c r="I117" s="2">
        <v>4274.01</v>
      </c>
      <c r="J117" s="3">
        <f t="shared" si="3"/>
        <v>440223.03</v>
      </c>
      <c r="K117" s="2" t="s">
        <v>33</v>
      </c>
    </row>
    <row r="118" spans="1:11" x14ac:dyDescent="0.25">
      <c r="A118" s="2">
        <v>1117</v>
      </c>
      <c r="B118" s="2" t="s">
        <v>83</v>
      </c>
      <c r="C118" s="2" t="s">
        <v>24</v>
      </c>
      <c r="D118" s="2" t="s">
        <v>24</v>
      </c>
      <c r="E118" s="2" t="s">
        <v>25</v>
      </c>
      <c r="F118" s="2" t="s">
        <v>26</v>
      </c>
      <c r="G118" s="2" t="s">
        <v>37</v>
      </c>
      <c r="H118" s="2">
        <v>10</v>
      </c>
      <c r="I118" s="2">
        <v>4890.83</v>
      </c>
      <c r="J118" s="3">
        <f t="shared" si="3"/>
        <v>48908.3</v>
      </c>
      <c r="K118" s="2" t="s">
        <v>33</v>
      </c>
    </row>
    <row r="119" spans="1:11" x14ac:dyDescent="0.25">
      <c r="A119" s="2">
        <v>1118</v>
      </c>
      <c r="B119" s="2" t="s">
        <v>113</v>
      </c>
      <c r="C119" s="2" t="s">
        <v>12</v>
      </c>
      <c r="D119" s="2" t="s">
        <v>18</v>
      </c>
      <c r="E119" s="2" t="s">
        <v>35</v>
      </c>
      <c r="F119" s="2" t="s">
        <v>96</v>
      </c>
      <c r="G119" s="2" t="s">
        <v>54</v>
      </c>
      <c r="H119" s="2">
        <v>78</v>
      </c>
      <c r="I119" s="2">
        <v>3889.92</v>
      </c>
      <c r="J119" s="3">
        <f t="shared" si="3"/>
        <v>303413.76000000001</v>
      </c>
      <c r="K119" s="2" t="s">
        <v>33</v>
      </c>
    </row>
    <row r="120" spans="1:11" x14ac:dyDescent="0.25">
      <c r="A120" s="2">
        <v>1119</v>
      </c>
      <c r="B120" s="2" t="s">
        <v>78</v>
      </c>
      <c r="C120" s="2" t="s">
        <v>41</v>
      </c>
      <c r="D120" s="2" t="s">
        <v>41</v>
      </c>
      <c r="E120" s="2" t="s">
        <v>25</v>
      </c>
      <c r="F120" s="2" t="s">
        <v>26</v>
      </c>
      <c r="G120" s="2" t="s">
        <v>49</v>
      </c>
      <c r="H120" s="2">
        <v>165</v>
      </c>
      <c r="I120" s="2">
        <v>530.96</v>
      </c>
      <c r="J120" s="3">
        <f t="shared" si="3"/>
        <v>87608.400000000009</v>
      </c>
      <c r="K120" s="2" t="s">
        <v>22</v>
      </c>
    </row>
    <row r="121" spans="1:11" x14ac:dyDescent="0.25">
      <c r="A121" s="2">
        <v>1120</v>
      </c>
      <c r="B121" s="2" t="s">
        <v>95</v>
      </c>
      <c r="C121" s="2" t="s">
        <v>30</v>
      </c>
      <c r="D121" s="2" t="s">
        <v>31</v>
      </c>
      <c r="E121" s="2" t="s">
        <v>35</v>
      </c>
      <c r="F121" s="2" t="s">
        <v>96</v>
      </c>
      <c r="G121" s="2" t="s">
        <v>47</v>
      </c>
      <c r="H121" s="2">
        <v>192</v>
      </c>
      <c r="I121" s="2">
        <v>700.49</v>
      </c>
      <c r="J121" s="3">
        <f t="shared" si="3"/>
        <v>134494.08000000002</v>
      </c>
      <c r="K121" s="2" t="s">
        <v>16</v>
      </c>
    </row>
    <row r="122" spans="1:11" x14ac:dyDescent="0.25">
      <c r="A122" s="2">
        <v>1121</v>
      </c>
      <c r="B122" s="2" t="s">
        <v>53</v>
      </c>
      <c r="C122" s="2" t="s">
        <v>28</v>
      </c>
      <c r="D122" s="2" t="s">
        <v>28</v>
      </c>
      <c r="E122" s="2" t="s">
        <v>55</v>
      </c>
      <c r="F122" s="2" t="s">
        <v>72</v>
      </c>
      <c r="G122" s="2" t="s">
        <v>47</v>
      </c>
      <c r="H122" s="2">
        <v>140</v>
      </c>
      <c r="I122" s="2">
        <v>2533.88</v>
      </c>
      <c r="J122" s="3">
        <f t="shared" si="3"/>
        <v>354743.2</v>
      </c>
      <c r="K122" s="2" t="s">
        <v>22</v>
      </c>
    </row>
    <row r="123" spans="1:11" x14ac:dyDescent="0.25">
      <c r="A123" s="2">
        <v>1122</v>
      </c>
      <c r="B123" s="2" t="s">
        <v>51</v>
      </c>
      <c r="C123" s="2" t="s">
        <v>30</v>
      </c>
      <c r="D123" s="2" t="s">
        <v>31</v>
      </c>
      <c r="E123" s="2" t="s">
        <v>13</v>
      </c>
      <c r="F123" s="2" t="s">
        <v>38</v>
      </c>
      <c r="G123" s="2" t="s">
        <v>47</v>
      </c>
      <c r="H123" s="2">
        <v>34</v>
      </c>
      <c r="I123" s="2">
        <v>2368.2399999999998</v>
      </c>
      <c r="J123" s="3">
        <f t="shared" si="3"/>
        <v>80520.159999999989</v>
      </c>
      <c r="K123" s="2" t="s">
        <v>22</v>
      </c>
    </row>
    <row r="124" spans="1:11" x14ac:dyDescent="0.25">
      <c r="A124" s="2">
        <v>1123</v>
      </c>
      <c r="B124" s="2" t="s">
        <v>114</v>
      </c>
      <c r="C124" s="2" t="s">
        <v>28</v>
      </c>
      <c r="D124" s="2" t="s">
        <v>29</v>
      </c>
      <c r="E124" s="2" t="s">
        <v>35</v>
      </c>
      <c r="F124" s="2" t="s">
        <v>36</v>
      </c>
      <c r="G124" s="2" t="s">
        <v>21</v>
      </c>
      <c r="H124" s="2">
        <v>72</v>
      </c>
      <c r="I124" s="2">
        <v>2706.03</v>
      </c>
      <c r="J124" s="3">
        <f t="shared" si="3"/>
        <v>194834.16</v>
      </c>
      <c r="K124" s="2" t="s">
        <v>16</v>
      </c>
    </row>
    <row r="125" spans="1:11" x14ac:dyDescent="0.25">
      <c r="A125" s="2">
        <v>1124</v>
      </c>
      <c r="B125" s="2" t="s">
        <v>73</v>
      </c>
      <c r="C125" s="2" t="s">
        <v>30</v>
      </c>
      <c r="D125" s="2" t="s">
        <v>31</v>
      </c>
      <c r="E125" s="2" t="s">
        <v>13</v>
      </c>
      <c r="F125" s="2" t="s">
        <v>14</v>
      </c>
      <c r="G125" s="2" t="s">
        <v>15</v>
      </c>
      <c r="H125" s="2">
        <v>125</v>
      </c>
      <c r="I125" s="2">
        <v>173.87</v>
      </c>
      <c r="J125" s="3">
        <f t="shared" si="3"/>
        <v>21733.75</v>
      </c>
      <c r="K125" s="2" t="s">
        <v>16</v>
      </c>
    </row>
    <row r="126" spans="1:11" x14ac:dyDescent="0.25">
      <c r="A126" s="2">
        <v>1125</v>
      </c>
      <c r="B126" s="2" t="s">
        <v>70</v>
      </c>
      <c r="C126" s="2" t="s">
        <v>41</v>
      </c>
      <c r="D126" s="2" t="s">
        <v>41</v>
      </c>
      <c r="E126" s="2" t="s">
        <v>19</v>
      </c>
      <c r="F126" s="2" t="s">
        <v>58</v>
      </c>
      <c r="G126" s="2" t="s">
        <v>37</v>
      </c>
      <c r="H126" s="2">
        <v>171</v>
      </c>
      <c r="I126" s="2">
        <v>2071.06</v>
      </c>
      <c r="J126" s="3">
        <f t="shared" si="3"/>
        <v>354151.26</v>
      </c>
      <c r="K126" s="2" t="s">
        <v>22</v>
      </c>
    </row>
    <row r="127" spans="1:11" x14ac:dyDescent="0.25">
      <c r="A127" s="2">
        <v>1126</v>
      </c>
      <c r="B127" s="2" t="s">
        <v>114</v>
      </c>
      <c r="C127" s="2" t="s">
        <v>30</v>
      </c>
      <c r="D127" s="2" t="s">
        <v>31</v>
      </c>
      <c r="E127" s="2" t="s">
        <v>35</v>
      </c>
      <c r="F127" s="2" t="s">
        <v>48</v>
      </c>
      <c r="G127" s="2" t="s">
        <v>15</v>
      </c>
      <c r="H127" s="2">
        <v>142</v>
      </c>
      <c r="I127" s="2">
        <v>721.54</v>
      </c>
      <c r="J127" s="3">
        <f t="shared" si="3"/>
        <v>102458.68</v>
      </c>
      <c r="K127" s="2" t="s">
        <v>16</v>
      </c>
    </row>
    <row r="128" spans="1:11" x14ac:dyDescent="0.25">
      <c r="A128" s="2">
        <v>1127</v>
      </c>
      <c r="B128" s="2" t="s">
        <v>115</v>
      </c>
      <c r="C128" s="2" t="s">
        <v>24</v>
      </c>
      <c r="D128" s="2" t="s">
        <v>24</v>
      </c>
      <c r="E128" s="2" t="s">
        <v>25</v>
      </c>
      <c r="F128" s="2" t="s">
        <v>62</v>
      </c>
      <c r="G128" s="2" t="s">
        <v>49</v>
      </c>
      <c r="H128" s="2">
        <v>111</v>
      </c>
      <c r="I128" s="2">
        <v>3291.86</v>
      </c>
      <c r="J128" s="3">
        <f t="shared" si="3"/>
        <v>365396.46</v>
      </c>
      <c r="K128" s="2" t="s">
        <v>33</v>
      </c>
    </row>
    <row r="129" spans="1:11" x14ac:dyDescent="0.25">
      <c r="A129" s="2">
        <v>1128</v>
      </c>
      <c r="B129" s="2" t="s">
        <v>59</v>
      </c>
      <c r="C129" s="2" t="s">
        <v>30</v>
      </c>
      <c r="D129" s="2" t="s">
        <v>30</v>
      </c>
      <c r="E129" s="2" t="s">
        <v>13</v>
      </c>
      <c r="F129" s="2" t="s">
        <v>14</v>
      </c>
      <c r="G129" s="2" t="s">
        <v>54</v>
      </c>
      <c r="H129" s="2">
        <v>118</v>
      </c>
      <c r="I129" s="2">
        <v>4755.25</v>
      </c>
      <c r="J129" s="3">
        <f t="shared" si="3"/>
        <v>561119.5</v>
      </c>
      <c r="K129" s="2" t="s">
        <v>16</v>
      </c>
    </row>
    <row r="130" spans="1:11" x14ac:dyDescent="0.25">
      <c r="A130" s="2">
        <v>1129</v>
      </c>
      <c r="B130" s="2" t="s">
        <v>98</v>
      </c>
      <c r="C130" s="2" t="s">
        <v>30</v>
      </c>
      <c r="D130" s="2" t="s">
        <v>31</v>
      </c>
      <c r="E130" s="2" t="s">
        <v>35</v>
      </c>
      <c r="F130" s="2" t="s">
        <v>36</v>
      </c>
      <c r="G130" s="2" t="s">
        <v>37</v>
      </c>
      <c r="H130" s="2">
        <v>53</v>
      </c>
      <c r="I130" s="2">
        <v>4842.62</v>
      </c>
      <c r="J130" s="3">
        <f t="shared" ref="J130:J161" si="4">H130*I130</f>
        <v>256658.86</v>
      </c>
      <c r="K130" s="2" t="s">
        <v>16</v>
      </c>
    </row>
    <row r="131" spans="1:11" x14ac:dyDescent="0.25">
      <c r="A131" s="2">
        <v>1130</v>
      </c>
      <c r="B131" s="2" t="s">
        <v>116</v>
      </c>
      <c r="C131" s="2" t="s">
        <v>41</v>
      </c>
      <c r="D131" s="2" t="s">
        <v>41</v>
      </c>
      <c r="E131" s="2" t="s">
        <v>35</v>
      </c>
      <c r="F131" s="2" t="s">
        <v>36</v>
      </c>
      <c r="G131" s="2" t="s">
        <v>15</v>
      </c>
      <c r="H131" s="2">
        <v>37</v>
      </c>
      <c r="I131" s="2">
        <v>3945.54</v>
      </c>
      <c r="J131" s="3">
        <f t="shared" si="4"/>
        <v>145984.98000000001</v>
      </c>
      <c r="K131" s="2" t="s">
        <v>16</v>
      </c>
    </row>
    <row r="132" spans="1:11" x14ac:dyDescent="0.25">
      <c r="A132" s="2">
        <v>1131</v>
      </c>
      <c r="B132" s="2" t="s">
        <v>51</v>
      </c>
      <c r="C132" s="2" t="s">
        <v>41</v>
      </c>
      <c r="D132" s="2" t="s">
        <v>41</v>
      </c>
      <c r="E132" s="2" t="s">
        <v>55</v>
      </c>
      <c r="F132" s="2" t="s">
        <v>67</v>
      </c>
      <c r="G132" s="2" t="s">
        <v>49</v>
      </c>
      <c r="H132" s="2">
        <v>157</v>
      </c>
      <c r="I132" s="2">
        <v>64.040000000000006</v>
      </c>
      <c r="J132" s="3">
        <f t="shared" si="4"/>
        <v>10054.280000000001</v>
      </c>
      <c r="K132" s="2" t="s">
        <v>16</v>
      </c>
    </row>
    <row r="133" spans="1:11" x14ac:dyDescent="0.25">
      <c r="A133" s="2">
        <v>1132</v>
      </c>
      <c r="B133" s="2" t="s">
        <v>97</v>
      </c>
      <c r="C133" s="2" t="s">
        <v>30</v>
      </c>
      <c r="D133" s="2" t="s">
        <v>30</v>
      </c>
      <c r="E133" s="2" t="s">
        <v>35</v>
      </c>
      <c r="F133" s="2" t="s">
        <v>96</v>
      </c>
      <c r="G133" s="2" t="s">
        <v>21</v>
      </c>
      <c r="H133" s="2">
        <v>38</v>
      </c>
      <c r="I133" s="2">
        <v>123.56</v>
      </c>
      <c r="J133" s="3">
        <f t="shared" si="4"/>
        <v>4695.28</v>
      </c>
      <c r="K133" s="2" t="s">
        <v>33</v>
      </c>
    </row>
    <row r="134" spans="1:11" x14ac:dyDescent="0.25">
      <c r="A134" s="2">
        <v>1133</v>
      </c>
      <c r="B134" s="2" t="s">
        <v>77</v>
      </c>
      <c r="C134" s="2" t="s">
        <v>12</v>
      </c>
      <c r="D134" s="2" t="s">
        <v>12</v>
      </c>
      <c r="E134" s="2" t="s">
        <v>13</v>
      </c>
      <c r="F134" s="2" t="s">
        <v>14</v>
      </c>
      <c r="G134" s="2" t="s">
        <v>49</v>
      </c>
      <c r="H134" s="2">
        <v>194</v>
      </c>
      <c r="I134" s="2">
        <v>2133.75</v>
      </c>
      <c r="J134" s="3">
        <f t="shared" si="4"/>
        <v>413947.5</v>
      </c>
      <c r="K134" s="2" t="s">
        <v>22</v>
      </c>
    </row>
    <row r="135" spans="1:11" x14ac:dyDescent="0.25">
      <c r="A135" s="2">
        <v>1134</v>
      </c>
      <c r="B135" s="2" t="s">
        <v>63</v>
      </c>
      <c r="C135" s="2" t="s">
        <v>28</v>
      </c>
      <c r="D135" s="2" t="s">
        <v>29</v>
      </c>
      <c r="E135" s="2" t="s">
        <v>13</v>
      </c>
      <c r="F135" s="2" t="s">
        <v>38</v>
      </c>
      <c r="G135" s="2" t="s">
        <v>39</v>
      </c>
      <c r="H135" s="2">
        <v>120</v>
      </c>
      <c r="I135" s="2">
        <v>2544</v>
      </c>
      <c r="J135" s="3">
        <f t="shared" si="4"/>
        <v>305280</v>
      </c>
      <c r="K135" s="2" t="s">
        <v>16</v>
      </c>
    </row>
    <row r="136" spans="1:11" x14ac:dyDescent="0.25">
      <c r="A136" s="2">
        <v>1135</v>
      </c>
      <c r="B136" s="2" t="s">
        <v>107</v>
      </c>
      <c r="C136" s="2" t="s">
        <v>24</v>
      </c>
      <c r="D136" s="2" t="s">
        <v>24</v>
      </c>
      <c r="E136" s="2" t="s">
        <v>19</v>
      </c>
      <c r="F136" s="2" t="s">
        <v>58</v>
      </c>
      <c r="G136" s="2" t="s">
        <v>21</v>
      </c>
      <c r="H136" s="2">
        <v>20</v>
      </c>
      <c r="I136" s="2">
        <v>4993</v>
      </c>
      <c r="J136" s="3">
        <f t="shared" si="4"/>
        <v>99860</v>
      </c>
      <c r="K136" s="2" t="s">
        <v>16</v>
      </c>
    </row>
    <row r="137" spans="1:11" x14ac:dyDescent="0.25">
      <c r="A137" s="2">
        <v>1136</v>
      </c>
      <c r="B137" s="2" t="s">
        <v>51</v>
      </c>
      <c r="C137" s="2" t="s">
        <v>12</v>
      </c>
      <c r="D137" s="2" t="s">
        <v>82</v>
      </c>
      <c r="E137" s="2" t="s">
        <v>19</v>
      </c>
      <c r="F137" s="2" t="s">
        <v>20</v>
      </c>
      <c r="G137" s="2" t="s">
        <v>39</v>
      </c>
      <c r="H137" s="2">
        <v>87</v>
      </c>
      <c r="I137" s="2">
        <v>3061.07</v>
      </c>
      <c r="J137" s="3">
        <f t="shared" si="4"/>
        <v>266313.09000000003</v>
      </c>
      <c r="K137" s="2" t="s">
        <v>33</v>
      </c>
    </row>
    <row r="138" spans="1:11" x14ac:dyDescent="0.25">
      <c r="A138" s="2">
        <v>1137</v>
      </c>
      <c r="B138" s="2" t="s">
        <v>59</v>
      </c>
      <c r="C138" s="2" t="s">
        <v>24</v>
      </c>
      <c r="D138" s="2" t="s">
        <v>24</v>
      </c>
      <c r="E138" s="2" t="s">
        <v>19</v>
      </c>
      <c r="F138" s="2" t="s">
        <v>58</v>
      </c>
      <c r="G138" s="2" t="s">
        <v>37</v>
      </c>
      <c r="H138" s="2">
        <v>121</v>
      </c>
      <c r="I138" s="2">
        <v>2552.48</v>
      </c>
      <c r="J138" s="3">
        <f t="shared" si="4"/>
        <v>308850.08</v>
      </c>
      <c r="K138" s="2" t="s">
        <v>16</v>
      </c>
    </row>
    <row r="139" spans="1:11" x14ac:dyDescent="0.25">
      <c r="A139" s="2">
        <v>1138</v>
      </c>
      <c r="B139" s="2" t="s">
        <v>68</v>
      </c>
      <c r="C139" s="2" t="s">
        <v>12</v>
      </c>
      <c r="D139" s="2" t="s">
        <v>18</v>
      </c>
      <c r="E139" s="2" t="s">
        <v>25</v>
      </c>
      <c r="F139" s="2" t="s">
        <v>62</v>
      </c>
      <c r="G139" s="2" t="s">
        <v>15</v>
      </c>
      <c r="H139" s="2">
        <v>115</v>
      </c>
      <c r="I139" s="2">
        <v>2285.1999999999998</v>
      </c>
      <c r="J139" s="3">
        <f t="shared" si="4"/>
        <v>262798</v>
      </c>
      <c r="K139" s="2" t="s">
        <v>33</v>
      </c>
    </row>
    <row r="140" spans="1:11" x14ac:dyDescent="0.25">
      <c r="A140" s="2">
        <v>1139</v>
      </c>
      <c r="B140" s="2" t="s">
        <v>75</v>
      </c>
      <c r="C140" s="2" t="s">
        <v>28</v>
      </c>
      <c r="D140" s="2" t="s">
        <v>29</v>
      </c>
      <c r="E140" s="2" t="s">
        <v>19</v>
      </c>
      <c r="F140" s="2" t="s">
        <v>58</v>
      </c>
      <c r="G140" s="2" t="s">
        <v>39</v>
      </c>
      <c r="H140" s="2">
        <v>85</v>
      </c>
      <c r="I140" s="2">
        <v>2162.48</v>
      </c>
      <c r="J140" s="3">
        <f t="shared" si="4"/>
        <v>183810.8</v>
      </c>
      <c r="K140" s="2" t="s">
        <v>33</v>
      </c>
    </row>
    <row r="141" spans="1:11" x14ac:dyDescent="0.25">
      <c r="A141" s="2">
        <v>1140</v>
      </c>
      <c r="B141" s="2" t="s">
        <v>11</v>
      </c>
      <c r="C141" s="2" t="s">
        <v>41</v>
      </c>
      <c r="D141" s="2" t="s">
        <v>42</v>
      </c>
      <c r="E141" s="2" t="s">
        <v>35</v>
      </c>
      <c r="F141" s="2" t="s">
        <v>48</v>
      </c>
      <c r="G141" s="2" t="s">
        <v>39</v>
      </c>
      <c r="H141" s="2">
        <v>28</v>
      </c>
      <c r="I141" s="2">
        <v>2187.79</v>
      </c>
      <c r="J141" s="3">
        <f t="shared" si="4"/>
        <v>61258.119999999995</v>
      </c>
      <c r="K141" s="2" t="s">
        <v>33</v>
      </c>
    </row>
    <row r="142" spans="1:11" x14ac:dyDescent="0.25">
      <c r="A142" s="2">
        <v>1141</v>
      </c>
      <c r="B142" s="2" t="s">
        <v>94</v>
      </c>
      <c r="C142" s="2" t="s">
        <v>41</v>
      </c>
      <c r="D142" s="2" t="s">
        <v>41</v>
      </c>
      <c r="E142" s="2" t="s">
        <v>25</v>
      </c>
      <c r="F142" s="2" t="s">
        <v>62</v>
      </c>
      <c r="G142" s="2" t="s">
        <v>47</v>
      </c>
      <c r="H142" s="2">
        <v>176</v>
      </c>
      <c r="I142" s="2">
        <v>655.04</v>
      </c>
      <c r="J142" s="3">
        <f t="shared" si="4"/>
        <v>115287.03999999999</v>
      </c>
      <c r="K142" s="2" t="s">
        <v>16</v>
      </c>
    </row>
    <row r="143" spans="1:11" x14ac:dyDescent="0.25">
      <c r="A143" s="2">
        <v>1142</v>
      </c>
      <c r="B143" s="2" t="s">
        <v>87</v>
      </c>
      <c r="C143" s="2" t="s">
        <v>28</v>
      </c>
      <c r="D143" s="2" t="s">
        <v>28</v>
      </c>
      <c r="E143" s="2" t="s">
        <v>13</v>
      </c>
      <c r="F143" s="2" t="s">
        <v>38</v>
      </c>
      <c r="G143" s="2" t="s">
        <v>37</v>
      </c>
      <c r="H143" s="2">
        <v>95</v>
      </c>
      <c r="I143" s="2">
        <v>562.82000000000005</v>
      </c>
      <c r="J143" s="3">
        <f t="shared" si="4"/>
        <v>53467.9</v>
      </c>
      <c r="K143" s="2" t="s">
        <v>22</v>
      </c>
    </row>
    <row r="144" spans="1:11" x14ac:dyDescent="0.25">
      <c r="A144" s="2">
        <v>1143</v>
      </c>
      <c r="B144" s="2" t="s">
        <v>32</v>
      </c>
      <c r="C144" s="2" t="s">
        <v>28</v>
      </c>
      <c r="D144" s="2" t="s">
        <v>28</v>
      </c>
      <c r="E144" s="2" t="s">
        <v>35</v>
      </c>
      <c r="F144" s="2" t="s">
        <v>36</v>
      </c>
      <c r="G144" s="2" t="s">
        <v>47</v>
      </c>
      <c r="H144" s="2">
        <v>34</v>
      </c>
      <c r="I144" s="2">
        <v>3824.9</v>
      </c>
      <c r="J144" s="3">
        <f t="shared" si="4"/>
        <v>130046.6</v>
      </c>
      <c r="K144" s="2" t="s">
        <v>33</v>
      </c>
    </row>
    <row r="145" spans="1:11" x14ac:dyDescent="0.25">
      <c r="A145" s="2">
        <v>1144</v>
      </c>
      <c r="B145" s="2" t="s">
        <v>99</v>
      </c>
      <c r="C145" s="2" t="s">
        <v>24</v>
      </c>
      <c r="D145" s="2" t="s">
        <v>24</v>
      </c>
      <c r="E145" s="2" t="s">
        <v>25</v>
      </c>
      <c r="F145" s="2" t="s">
        <v>62</v>
      </c>
      <c r="G145" s="2" t="s">
        <v>37</v>
      </c>
      <c r="H145" s="2">
        <v>12</v>
      </c>
      <c r="I145" s="2">
        <v>943.06</v>
      </c>
      <c r="J145" s="3">
        <f t="shared" si="4"/>
        <v>11316.72</v>
      </c>
      <c r="K145" s="2" t="s">
        <v>33</v>
      </c>
    </row>
    <row r="146" spans="1:11" x14ac:dyDescent="0.25">
      <c r="A146" s="2">
        <v>1145</v>
      </c>
      <c r="B146" s="2" t="s">
        <v>51</v>
      </c>
      <c r="C146" s="2" t="s">
        <v>30</v>
      </c>
      <c r="D146" s="2" t="s">
        <v>31</v>
      </c>
      <c r="E146" s="2" t="s">
        <v>35</v>
      </c>
      <c r="F146" s="2" t="s">
        <v>48</v>
      </c>
      <c r="G146" s="2" t="s">
        <v>49</v>
      </c>
      <c r="H146" s="2">
        <v>149</v>
      </c>
      <c r="I146" s="2">
        <v>3303.86</v>
      </c>
      <c r="J146" s="3">
        <f t="shared" si="4"/>
        <v>492275.14</v>
      </c>
      <c r="K146" s="2" t="s">
        <v>16</v>
      </c>
    </row>
    <row r="147" spans="1:11" x14ac:dyDescent="0.25">
      <c r="A147" s="2">
        <v>1146</v>
      </c>
      <c r="B147" s="2" t="s">
        <v>117</v>
      </c>
      <c r="C147" s="2" t="s">
        <v>12</v>
      </c>
      <c r="D147" s="2" t="s">
        <v>12</v>
      </c>
      <c r="E147" s="2" t="s">
        <v>25</v>
      </c>
      <c r="F147" s="2" t="s">
        <v>52</v>
      </c>
      <c r="G147" s="2" t="s">
        <v>64</v>
      </c>
      <c r="H147" s="2">
        <v>112</v>
      </c>
      <c r="I147" s="2">
        <v>2295.5500000000002</v>
      </c>
      <c r="J147" s="3">
        <f t="shared" si="4"/>
        <v>257101.60000000003</v>
      </c>
      <c r="K147" s="2" t="s">
        <v>33</v>
      </c>
    </row>
    <row r="148" spans="1:11" x14ac:dyDescent="0.25">
      <c r="A148" s="2">
        <v>1147</v>
      </c>
      <c r="B148" s="2" t="s">
        <v>118</v>
      </c>
      <c r="C148" s="2" t="s">
        <v>30</v>
      </c>
      <c r="D148" s="2" t="s">
        <v>30</v>
      </c>
      <c r="E148" s="2" t="s">
        <v>35</v>
      </c>
      <c r="F148" s="2" t="s">
        <v>48</v>
      </c>
      <c r="G148" s="2" t="s">
        <v>49</v>
      </c>
      <c r="H148" s="2">
        <v>198</v>
      </c>
      <c r="I148" s="2">
        <v>3108.3</v>
      </c>
      <c r="J148" s="3">
        <f t="shared" si="4"/>
        <v>615443.4</v>
      </c>
      <c r="K148" s="2" t="s">
        <v>33</v>
      </c>
    </row>
    <row r="149" spans="1:11" x14ac:dyDescent="0.25">
      <c r="A149" s="2">
        <v>1148</v>
      </c>
      <c r="B149" s="2" t="s">
        <v>81</v>
      </c>
      <c r="C149" s="2" t="s">
        <v>28</v>
      </c>
      <c r="D149" s="2" t="s">
        <v>29</v>
      </c>
      <c r="E149" s="2" t="s">
        <v>19</v>
      </c>
      <c r="F149" s="2" t="s">
        <v>58</v>
      </c>
      <c r="G149" s="2" t="s">
        <v>54</v>
      </c>
      <c r="H149" s="2">
        <v>111</v>
      </c>
      <c r="I149" s="2">
        <v>1402.18</v>
      </c>
      <c r="J149" s="3">
        <f t="shared" si="4"/>
        <v>155641.98000000001</v>
      </c>
      <c r="K149" s="2" t="s">
        <v>33</v>
      </c>
    </row>
    <row r="150" spans="1:11" x14ac:dyDescent="0.25">
      <c r="A150" s="2">
        <v>1149</v>
      </c>
      <c r="B150" s="2" t="s">
        <v>40</v>
      </c>
      <c r="C150" s="2" t="s">
        <v>28</v>
      </c>
      <c r="D150" s="2" t="s">
        <v>28</v>
      </c>
      <c r="E150" s="2" t="s">
        <v>13</v>
      </c>
      <c r="F150" s="2" t="s">
        <v>38</v>
      </c>
      <c r="G150" s="2" t="s">
        <v>54</v>
      </c>
      <c r="H150" s="2">
        <v>139</v>
      </c>
      <c r="I150" s="2">
        <v>3352.31</v>
      </c>
      <c r="J150" s="3">
        <f t="shared" si="4"/>
        <v>465971.08999999997</v>
      </c>
      <c r="K150" s="2" t="s">
        <v>33</v>
      </c>
    </row>
    <row r="151" spans="1:11" x14ac:dyDescent="0.25">
      <c r="A151" s="2">
        <v>1150</v>
      </c>
      <c r="B151" s="2" t="s">
        <v>102</v>
      </c>
      <c r="C151" s="2" t="s">
        <v>24</v>
      </c>
      <c r="D151" s="2" t="s">
        <v>24</v>
      </c>
      <c r="E151" s="2" t="s">
        <v>35</v>
      </c>
      <c r="F151" s="2" t="s">
        <v>48</v>
      </c>
      <c r="G151" s="2" t="s">
        <v>37</v>
      </c>
      <c r="H151" s="2">
        <v>59</v>
      </c>
      <c r="I151" s="2">
        <v>3848.38</v>
      </c>
      <c r="J151" s="3">
        <f t="shared" si="4"/>
        <v>227054.42</v>
      </c>
      <c r="K151" s="2" t="s">
        <v>33</v>
      </c>
    </row>
    <row r="152" spans="1:11" x14ac:dyDescent="0.25">
      <c r="A152" s="2">
        <v>1151</v>
      </c>
      <c r="B152" s="2" t="s">
        <v>76</v>
      </c>
      <c r="C152" s="2" t="s">
        <v>12</v>
      </c>
      <c r="D152" s="2" t="s">
        <v>12</v>
      </c>
      <c r="E152" s="2" t="s">
        <v>19</v>
      </c>
      <c r="F152" s="2" t="s">
        <v>58</v>
      </c>
      <c r="G152" s="2" t="s">
        <v>64</v>
      </c>
      <c r="H152" s="2">
        <v>49</v>
      </c>
      <c r="I152" s="2">
        <v>689.47</v>
      </c>
      <c r="J152" s="3">
        <f t="shared" si="4"/>
        <v>33784.03</v>
      </c>
      <c r="K152" s="2" t="s">
        <v>22</v>
      </c>
    </row>
    <row r="153" spans="1:11" x14ac:dyDescent="0.25">
      <c r="A153" s="2">
        <v>1152</v>
      </c>
      <c r="B153" s="2" t="s">
        <v>106</v>
      </c>
      <c r="C153" s="2" t="s">
        <v>24</v>
      </c>
      <c r="D153" s="2" t="s">
        <v>24</v>
      </c>
      <c r="E153" s="2" t="s">
        <v>35</v>
      </c>
      <c r="F153" s="2" t="s">
        <v>36</v>
      </c>
      <c r="G153" s="2" t="s">
        <v>21</v>
      </c>
      <c r="H153" s="2">
        <v>116</v>
      </c>
      <c r="I153" s="2">
        <v>142.77000000000001</v>
      </c>
      <c r="J153" s="3">
        <f t="shared" si="4"/>
        <v>16561.32</v>
      </c>
      <c r="K153" s="2" t="s">
        <v>33</v>
      </c>
    </row>
    <row r="154" spans="1:11" x14ac:dyDescent="0.25">
      <c r="A154" s="2">
        <v>1153</v>
      </c>
      <c r="B154" s="2" t="s">
        <v>119</v>
      </c>
      <c r="C154" s="2" t="s">
        <v>24</v>
      </c>
      <c r="D154" s="2" t="s">
        <v>24</v>
      </c>
      <c r="E154" s="2" t="s">
        <v>25</v>
      </c>
      <c r="F154" s="2" t="s">
        <v>26</v>
      </c>
      <c r="G154" s="2" t="s">
        <v>64</v>
      </c>
      <c r="H154" s="2">
        <v>79</v>
      </c>
      <c r="I154" s="2">
        <v>620.11</v>
      </c>
      <c r="J154" s="3">
        <f t="shared" si="4"/>
        <v>48988.69</v>
      </c>
      <c r="K154" s="2" t="s">
        <v>22</v>
      </c>
    </row>
    <row r="155" spans="1:11" x14ac:dyDescent="0.25">
      <c r="A155" s="2">
        <v>1154</v>
      </c>
      <c r="B155" s="2" t="s">
        <v>83</v>
      </c>
      <c r="C155" s="2" t="s">
        <v>24</v>
      </c>
      <c r="D155" s="2" t="s">
        <v>24</v>
      </c>
      <c r="E155" s="2" t="s">
        <v>13</v>
      </c>
      <c r="F155" s="2" t="s">
        <v>14</v>
      </c>
      <c r="G155" s="2" t="s">
        <v>64</v>
      </c>
      <c r="H155" s="2">
        <v>32</v>
      </c>
      <c r="I155" s="2">
        <v>1254.42</v>
      </c>
      <c r="J155" s="3">
        <f t="shared" si="4"/>
        <v>40141.440000000002</v>
      </c>
      <c r="K155" s="2" t="s">
        <v>16</v>
      </c>
    </row>
    <row r="156" spans="1:11" x14ac:dyDescent="0.25">
      <c r="A156" s="2">
        <v>1155</v>
      </c>
      <c r="B156" s="2" t="s">
        <v>116</v>
      </c>
      <c r="C156" s="2" t="s">
        <v>12</v>
      </c>
      <c r="D156" s="2" t="s">
        <v>82</v>
      </c>
      <c r="E156" s="2" t="s">
        <v>13</v>
      </c>
      <c r="F156" s="2" t="s">
        <v>38</v>
      </c>
      <c r="G156" s="2" t="s">
        <v>47</v>
      </c>
      <c r="H156" s="2">
        <v>61</v>
      </c>
      <c r="I156" s="2">
        <v>1698.69</v>
      </c>
      <c r="J156" s="3">
        <f t="shared" si="4"/>
        <v>103620.09</v>
      </c>
      <c r="K156" s="2" t="s">
        <v>16</v>
      </c>
    </row>
    <row r="157" spans="1:11" x14ac:dyDescent="0.25">
      <c r="A157" s="2">
        <v>1156</v>
      </c>
      <c r="B157" s="2" t="s">
        <v>91</v>
      </c>
      <c r="C157" s="2" t="s">
        <v>12</v>
      </c>
      <c r="D157" s="2" t="s">
        <v>18</v>
      </c>
      <c r="E157" s="2" t="s">
        <v>25</v>
      </c>
      <c r="F157" s="2" t="s">
        <v>52</v>
      </c>
      <c r="G157" s="2" t="s">
        <v>47</v>
      </c>
      <c r="H157" s="2">
        <v>94</v>
      </c>
      <c r="I157" s="2">
        <v>3650.53</v>
      </c>
      <c r="J157" s="3">
        <f t="shared" si="4"/>
        <v>343149.82</v>
      </c>
      <c r="K157" s="2" t="s">
        <v>22</v>
      </c>
    </row>
    <row r="158" spans="1:11" x14ac:dyDescent="0.25">
      <c r="A158" s="2">
        <v>1157</v>
      </c>
      <c r="B158" s="2" t="s">
        <v>118</v>
      </c>
      <c r="C158" s="2" t="s">
        <v>41</v>
      </c>
      <c r="D158" s="2" t="s">
        <v>41</v>
      </c>
      <c r="E158" s="2" t="s">
        <v>55</v>
      </c>
      <c r="F158" s="2" t="s">
        <v>67</v>
      </c>
      <c r="G158" s="2" t="s">
        <v>15</v>
      </c>
      <c r="H158" s="2">
        <v>49</v>
      </c>
      <c r="I158" s="2">
        <v>3031.87</v>
      </c>
      <c r="J158" s="3">
        <f t="shared" si="4"/>
        <v>148561.63</v>
      </c>
      <c r="K158" s="2" t="s">
        <v>22</v>
      </c>
    </row>
    <row r="159" spans="1:11" x14ac:dyDescent="0.25">
      <c r="A159" s="2">
        <v>1158</v>
      </c>
      <c r="B159" s="2" t="s">
        <v>78</v>
      </c>
      <c r="C159" s="2" t="s">
        <v>28</v>
      </c>
      <c r="D159" s="2" t="s">
        <v>29</v>
      </c>
      <c r="E159" s="2" t="s">
        <v>25</v>
      </c>
      <c r="F159" s="2" t="s">
        <v>62</v>
      </c>
      <c r="G159" s="2" t="s">
        <v>54</v>
      </c>
      <c r="H159" s="2">
        <v>179</v>
      </c>
      <c r="I159" s="2">
        <v>4624.5600000000004</v>
      </c>
      <c r="J159" s="3">
        <f t="shared" si="4"/>
        <v>827796.24000000011</v>
      </c>
      <c r="K159" s="2" t="s">
        <v>16</v>
      </c>
    </row>
    <row r="160" spans="1:11" x14ac:dyDescent="0.25">
      <c r="A160" s="2">
        <v>1159</v>
      </c>
      <c r="B160" s="2" t="s">
        <v>104</v>
      </c>
      <c r="C160" s="2" t="s">
        <v>24</v>
      </c>
      <c r="D160" s="2" t="s">
        <v>24</v>
      </c>
      <c r="E160" s="2" t="s">
        <v>13</v>
      </c>
      <c r="F160" s="2" t="s">
        <v>14</v>
      </c>
      <c r="G160" s="2" t="s">
        <v>54</v>
      </c>
      <c r="H160" s="2">
        <v>22</v>
      </c>
      <c r="I160" s="2">
        <v>2371.16</v>
      </c>
      <c r="J160" s="3">
        <f t="shared" si="4"/>
        <v>52165.52</v>
      </c>
      <c r="K160" s="2" t="s">
        <v>33</v>
      </c>
    </row>
    <row r="161" spans="1:11" x14ac:dyDescent="0.25">
      <c r="A161" s="2">
        <v>1160</v>
      </c>
      <c r="B161" s="2" t="s">
        <v>70</v>
      </c>
      <c r="C161" s="2" t="s">
        <v>24</v>
      </c>
      <c r="D161" s="2" t="s">
        <v>24</v>
      </c>
      <c r="E161" s="2" t="s">
        <v>13</v>
      </c>
      <c r="F161" s="2" t="s">
        <v>38</v>
      </c>
      <c r="G161" s="2" t="s">
        <v>39</v>
      </c>
      <c r="H161" s="2">
        <v>84</v>
      </c>
      <c r="I161" s="2">
        <v>2335.63</v>
      </c>
      <c r="J161" s="3">
        <f t="shared" si="4"/>
        <v>196192.92</v>
      </c>
      <c r="K161" s="2" t="s">
        <v>33</v>
      </c>
    </row>
    <row r="162" spans="1:11" x14ac:dyDescent="0.25">
      <c r="A162" s="2">
        <v>1161</v>
      </c>
      <c r="B162" s="2" t="s">
        <v>63</v>
      </c>
      <c r="C162" s="2" t="s">
        <v>30</v>
      </c>
      <c r="D162" s="2" t="s">
        <v>30</v>
      </c>
      <c r="E162" s="2" t="s">
        <v>35</v>
      </c>
      <c r="F162" s="2" t="s">
        <v>96</v>
      </c>
      <c r="G162" s="2" t="s">
        <v>64</v>
      </c>
      <c r="H162" s="2">
        <v>123</v>
      </c>
      <c r="I162" s="2">
        <v>2922.63</v>
      </c>
      <c r="J162" s="3">
        <f t="shared" ref="J162:J193" si="5">H162*I162</f>
        <v>359483.49</v>
      </c>
      <c r="K162" s="2" t="s">
        <v>33</v>
      </c>
    </row>
    <row r="163" spans="1:11" x14ac:dyDescent="0.25">
      <c r="A163" s="2">
        <v>1162</v>
      </c>
      <c r="B163" s="2" t="s">
        <v>66</v>
      </c>
      <c r="C163" s="2" t="s">
        <v>24</v>
      </c>
      <c r="D163" s="2" t="s">
        <v>24</v>
      </c>
      <c r="E163" s="2" t="s">
        <v>13</v>
      </c>
      <c r="F163" s="2" t="s">
        <v>38</v>
      </c>
      <c r="G163" s="2" t="s">
        <v>54</v>
      </c>
      <c r="H163" s="2">
        <v>133</v>
      </c>
      <c r="I163" s="2">
        <v>796.76</v>
      </c>
      <c r="J163" s="3">
        <f t="shared" si="5"/>
        <v>105969.08</v>
      </c>
      <c r="K163" s="2" t="s">
        <v>22</v>
      </c>
    </row>
    <row r="164" spans="1:11" x14ac:dyDescent="0.25">
      <c r="A164" s="2">
        <v>1163</v>
      </c>
      <c r="B164" s="2" t="s">
        <v>74</v>
      </c>
      <c r="C164" s="2" t="s">
        <v>30</v>
      </c>
      <c r="D164" s="2" t="s">
        <v>30</v>
      </c>
      <c r="E164" s="2" t="s">
        <v>25</v>
      </c>
      <c r="F164" s="2" t="s">
        <v>62</v>
      </c>
      <c r="G164" s="2" t="s">
        <v>49</v>
      </c>
      <c r="H164" s="2">
        <v>15</v>
      </c>
      <c r="I164" s="2">
        <v>1276.33</v>
      </c>
      <c r="J164" s="3">
        <f t="shared" si="5"/>
        <v>19144.949999999997</v>
      </c>
      <c r="K164" s="2" t="s">
        <v>16</v>
      </c>
    </row>
    <row r="165" spans="1:11" x14ac:dyDescent="0.25">
      <c r="A165" s="2">
        <v>1164</v>
      </c>
      <c r="B165" s="2" t="s">
        <v>61</v>
      </c>
      <c r="C165" s="2" t="s">
        <v>24</v>
      </c>
      <c r="D165" s="2" t="s">
        <v>24</v>
      </c>
      <c r="E165" s="2" t="s">
        <v>13</v>
      </c>
      <c r="F165" s="2" t="s">
        <v>50</v>
      </c>
      <c r="G165" s="2" t="s">
        <v>37</v>
      </c>
      <c r="H165" s="2">
        <v>104</v>
      </c>
      <c r="I165" s="2">
        <v>2073.41</v>
      </c>
      <c r="J165" s="3">
        <f t="shared" si="5"/>
        <v>215634.63999999998</v>
      </c>
      <c r="K165" s="2" t="s">
        <v>16</v>
      </c>
    </row>
    <row r="166" spans="1:11" x14ac:dyDescent="0.25">
      <c r="A166" s="2">
        <v>1165</v>
      </c>
      <c r="B166" s="2" t="s">
        <v>102</v>
      </c>
      <c r="C166" s="2" t="s">
        <v>12</v>
      </c>
      <c r="D166" s="2" t="s">
        <v>18</v>
      </c>
      <c r="E166" s="2" t="s">
        <v>13</v>
      </c>
      <c r="F166" s="2" t="s">
        <v>14</v>
      </c>
      <c r="G166" s="2" t="s">
        <v>47</v>
      </c>
      <c r="H166" s="2">
        <v>29</v>
      </c>
      <c r="I166" s="2">
        <v>2811.92</v>
      </c>
      <c r="J166" s="3">
        <f t="shared" si="5"/>
        <v>81545.680000000008</v>
      </c>
      <c r="K166" s="2" t="s">
        <v>33</v>
      </c>
    </row>
    <row r="167" spans="1:11" x14ac:dyDescent="0.25">
      <c r="A167" s="2">
        <v>1166</v>
      </c>
      <c r="B167" s="2" t="s">
        <v>76</v>
      </c>
      <c r="C167" s="2" t="s">
        <v>24</v>
      </c>
      <c r="D167" s="2" t="s">
        <v>24</v>
      </c>
      <c r="E167" s="2" t="s">
        <v>13</v>
      </c>
      <c r="F167" s="2" t="s">
        <v>14</v>
      </c>
      <c r="G167" s="2" t="s">
        <v>49</v>
      </c>
      <c r="H167" s="2">
        <v>94</v>
      </c>
      <c r="I167" s="2">
        <v>1585.65</v>
      </c>
      <c r="J167" s="3">
        <f t="shared" si="5"/>
        <v>149051.1</v>
      </c>
      <c r="K167" s="2" t="s">
        <v>16</v>
      </c>
    </row>
    <row r="168" spans="1:11" x14ac:dyDescent="0.25">
      <c r="A168" s="2">
        <v>1167</v>
      </c>
      <c r="B168" s="2" t="s">
        <v>110</v>
      </c>
      <c r="C168" s="2" t="s">
        <v>28</v>
      </c>
      <c r="D168" s="2" t="s">
        <v>28</v>
      </c>
      <c r="E168" s="2" t="s">
        <v>25</v>
      </c>
      <c r="F168" s="2" t="s">
        <v>62</v>
      </c>
      <c r="G168" s="2" t="s">
        <v>39</v>
      </c>
      <c r="H168" s="2">
        <v>84</v>
      </c>
      <c r="I168" s="2">
        <v>2816.66</v>
      </c>
      <c r="J168" s="3">
        <f t="shared" si="5"/>
        <v>236599.44</v>
      </c>
      <c r="K168" s="2" t="s">
        <v>33</v>
      </c>
    </row>
    <row r="169" spans="1:11" x14ac:dyDescent="0.25">
      <c r="A169" s="2">
        <v>1168</v>
      </c>
      <c r="B169" s="2" t="s">
        <v>85</v>
      </c>
      <c r="C169" s="2" t="s">
        <v>41</v>
      </c>
      <c r="D169" s="2" t="s">
        <v>41</v>
      </c>
      <c r="E169" s="2" t="s">
        <v>19</v>
      </c>
      <c r="F169" s="2" t="s">
        <v>58</v>
      </c>
      <c r="G169" s="2" t="s">
        <v>47</v>
      </c>
      <c r="H169" s="2">
        <v>9</v>
      </c>
      <c r="I169" s="2">
        <v>1844.86</v>
      </c>
      <c r="J169" s="3">
        <f t="shared" si="5"/>
        <v>16603.739999999998</v>
      </c>
      <c r="K169" s="2" t="s">
        <v>33</v>
      </c>
    </row>
    <row r="170" spans="1:11" x14ac:dyDescent="0.25">
      <c r="A170" s="2">
        <v>1169</v>
      </c>
      <c r="B170" s="2" t="s">
        <v>46</v>
      </c>
      <c r="C170" s="2" t="s">
        <v>28</v>
      </c>
      <c r="D170" s="2" t="s">
        <v>28</v>
      </c>
      <c r="E170" s="2" t="s">
        <v>55</v>
      </c>
      <c r="F170" s="2" t="s">
        <v>72</v>
      </c>
      <c r="G170" s="2" t="s">
        <v>49</v>
      </c>
      <c r="H170" s="2">
        <v>24</v>
      </c>
      <c r="I170" s="2">
        <v>1514.17</v>
      </c>
      <c r="J170" s="3">
        <f t="shared" si="5"/>
        <v>36340.080000000002</v>
      </c>
      <c r="K170" s="2" t="s">
        <v>16</v>
      </c>
    </row>
    <row r="171" spans="1:11" x14ac:dyDescent="0.25">
      <c r="A171" s="2">
        <v>1170</v>
      </c>
      <c r="B171" s="2" t="s">
        <v>120</v>
      </c>
      <c r="C171" s="2" t="s">
        <v>24</v>
      </c>
      <c r="D171" s="2" t="s">
        <v>24</v>
      </c>
      <c r="E171" s="2" t="s">
        <v>13</v>
      </c>
      <c r="F171" s="2" t="s">
        <v>38</v>
      </c>
      <c r="G171" s="2" t="s">
        <v>49</v>
      </c>
      <c r="H171" s="2">
        <v>157</v>
      </c>
      <c r="I171" s="2">
        <v>1914.76</v>
      </c>
      <c r="J171" s="3">
        <f t="shared" si="5"/>
        <v>300617.32</v>
      </c>
      <c r="K171" s="2" t="s">
        <v>16</v>
      </c>
    </row>
    <row r="172" spans="1:11" x14ac:dyDescent="0.25">
      <c r="A172" s="2">
        <v>1171</v>
      </c>
      <c r="B172" s="2" t="s">
        <v>66</v>
      </c>
      <c r="C172" s="2" t="s">
        <v>24</v>
      </c>
      <c r="D172" s="2" t="s">
        <v>24</v>
      </c>
      <c r="E172" s="2" t="s">
        <v>19</v>
      </c>
      <c r="F172" s="2" t="s">
        <v>20</v>
      </c>
      <c r="G172" s="2" t="s">
        <v>64</v>
      </c>
      <c r="H172" s="2">
        <v>98</v>
      </c>
      <c r="I172" s="2">
        <v>3398</v>
      </c>
      <c r="J172" s="3">
        <f t="shared" si="5"/>
        <v>333004</v>
      </c>
      <c r="K172" s="2" t="s">
        <v>16</v>
      </c>
    </row>
    <row r="173" spans="1:11" x14ac:dyDescent="0.25">
      <c r="A173" s="2">
        <v>1172</v>
      </c>
      <c r="B173" s="2" t="s">
        <v>53</v>
      </c>
      <c r="C173" s="2" t="s">
        <v>30</v>
      </c>
      <c r="D173" s="2" t="s">
        <v>31</v>
      </c>
      <c r="E173" s="2" t="s">
        <v>55</v>
      </c>
      <c r="F173" s="2" t="s">
        <v>56</v>
      </c>
      <c r="G173" s="2" t="s">
        <v>15</v>
      </c>
      <c r="H173" s="2">
        <v>84</v>
      </c>
      <c r="I173" s="2">
        <v>4829.7</v>
      </c>
      <c r="J173" s="3">
        <f t="shared" si="5"/>
        <v>405694.8</v>
      </c>
      <c r="K173" s="2" t="s">
        <v>22</v>
      </c>
    </row>
    <row r="174" spans="1:11" x14ac:dyDescent="0.25">
      <c r="A174" s="2">
        <v>1173</v>
      </c>
      <c r="B174" s="2" t="s">
        <v>121</v>
      </c>
      <c r="C174" s="2" t="s">
        <v>30</v>
      </c>
      <c r="D174" s="2" t="s">
        <v>31</v>
      </c>
      <c r="E174" s="2" t="s">
        <v>19</v>
      </c>
      <c r="F174" s="2" t="s">
        <v>43</v>
      </c>
      <c r="G174" s="2" t="s">
        <v>64</v>
      </c>
      <c r="H174" s="2">
        <v>133</v>
      </c>
      <c r="I174" s="2">
        <v>2660.93</v>
      </c>
      <c r="J174" s="3">
        <f t="shared" si="5"/>
        <v>353903.69</v>
      </c>
      <c r="K174" s="2" t="s">
        <v>22</v>
      </c>
    </row>
    <row r="175" spans="1:11" x14ac:dyDescent="0.25">
      <c r="A175" s="2">
        <v>1174</v>
      </c>
      <c r="B175" s="2" t="s">
        <v>60</v>
      </c>
      <c r="C175" s="2" t="s">
        <v>24</v>
      </c>
      <c r="D175" s="2" t="s">
        <v>24</v>
      </c>
      <c r="E175" s="2" t="s">
        <v>13</v>
      </c>
      <c r="F175" s="2" t="s">
        <v>14</v>
      </c>
      <c r="G175" s="2" t="s">
        <v>54</v>
      </c>
      <c r="H175" s="2">
        <v>100</v>
      </c>
      <c r="I175" s="2">
        <v>2794.98</v>
      </c>
      <c r="J175" s="3">
        <f t="shared" si="5"/>
        <v>279498</v>
      </c>
      <c r="K175" s="2" t="s">
        <v>16</v>
      </c>
    </row>
    <row r="176" spans="1:11" x14ac:dyDescent="0.25">
      <c r="A176" s="2">
        <v>1175</v>
      </c>
      <c r="B176" s="2" t="s">
        <v>121</v>
      </c>
      <c r="C176" s="2" t="s">
        <v>12</v>
      </c>
      <c r="D176" s="2" t="s">
        <v>82</v>
      </c>
      <c r="E176" s="2" t="s">
        <v>35</v>
      </c>
      <c r="F176" s="2" t="s">
        <v>48</v>
      </c>
      <c r="G176" s="2" t="s">
        <v>37</v>
      </c>
      <c r="H176" s="2">
        <v>120</v>
      </c>
      <c r="I176" s="2">
        <v>4531.2700000000004</v>
      </c>
      <c r="J176" s="3">
        <f t="shared" si="5"/>
        <v>543752.4</v>
      </c>
      <c r="K176" s="2" t="s">
        <v>33</v>
      </c>
    </row>
    <row r="177" spans="1:11" x14ac:dyDescent="0.25">
      <c r="A177" s="2">
        <v>1176</v>
      </c>
      <c r="B177" s="2" t="s">
        <v>122</v>
      </c>
      <c r="C177" s="2" t="s">
        <v>12</v>
      </c>
      <c r="D177" s="2" t="s">
        <v>12</v>
      </c>
      <c r="E177" s="2" t="s">
        <v>19</v>
      </c>
      <c r="F177" s="2" t="s">
        <v>43</v>
      </c>
      <c r="G177" s="2" t="s">
        <v>21</v>
      </c>
      <c r="H177" s="2">
        <v>111</v>
      </c>
      <c r="I177" s="2">
        <v>313.62</v>
      </c>
      <c r="J177" s="3">
        <f t="shared" si="5"/>
        <v>34811.82</v>
      </c>
      <c r="K177" s="2" t="s">
        <v>22</v>
      </c>
    </row>
    <row r="178" spans="1:11" x14ac:dyDescent="0.25">
      <c r="A178" s="2">
        <v>1177</v>
      </c>
      <c r="B178" s="2" t="s">
        <v>78</v>
      </c>
      <c r="C178" s="2" t="s">
        <v>28</v>
      </c>
      <c r="D178" s="2" t="s">
        <v>28</v>
      </c>
      <c r="E178" s="2" t="s">
        <v>13</v>
      </c>
      <c r="F178" s="2" t="s">
        <v>14</v>
      </c>
      <c r="G178" s="2" t="s">
        <v>21</v>
      </c>
      <c r="H178" s="2">
        <v>86</v>
      </c>
      <c r="I178" s="2">
        <v>4657.59</v>
      </c>
      <c r="J178" s="3">
        <f t="shared" si="5"/>
        <v>400552.74</v>
      </c>
      <c r="K178" s="2" t="s">
        <v>33</v>
      </c>
    </row>
    <row r="179" spans="1:11" x14ac:dyDescent="0.25">
      <c r="A179" s="2">
        <v>1178</v>
      </c>
      <c r="B179" s="2" t="s">
        <v>109</v>
      </c>
      <c r="C179" s="2" t="s">
        <v>41</v>
      </c>
      <c r="D179" s="2" t="s">
        <v>41</v>
      </c>
      <c r="E179" s="2" t="s">
        <v>35</v>
      </c>
      <c r="F179" s="2" t="s">
        <v>36</v>
      </c>
      <c r="G179" s="2" t="s">
        <v>54</v>
      </c>
      <c r="H179" s="2">
        <v>183</v>
      </c>
      <c r="I179" s="2">
        <v>4164</v>
      </c>
      <c r="J179" s="3">
        <f t="shared" si="5"/>
        <v>762012</v>
      </c>
      <c r="K179" s="2" t="s">
        <v>33</v>
      </c>
    </row>
    <row r="180" spans="1:11" x14ac:dyDescent="0.25">
      <c r="A180" s="2">
        <v>1179</v>
      </c>
      <c r="B180" s="2" t="s">
        <v>11</v>
      </c>
      <c r="C180" s="2" t="s">
        <v>24</v>
      </c>
      <c r="D180" s="2" t="s">
        <v>24</v>
      </c>
      <c r="E180" s="2" t="s">
        <v>35</v>
      </c>
      <c r="F180" s="2" t="s">
        <v>48</v>
      </c>
      <c r="G180" s="2" t="s">
        <v>37</v>
      </c>
      <c r="H180" s="2">
        <v>60</v>
      </c>
      <c r="I180" s="2">
        <v>4183.07</v>
      </c>
      <c r="J180" s="3">
        <f t="shared" si="5"/>
        <v>250984.19999999998</v>
      </c>
      <c r="K180" s="2" t="s">
        <v>16</v>
      </c>
    </row>
    <row r="181" spans="1:11" x14ac:dyDescent="0.25">
      <c r="A181" s="2">
        <v>1180</v>
      </c>
      <c r="B181" s="2" t="s">
        <v>68</v>
      </c>
      <c r="C181" s="2" t="s">
        <v>24</v>
      </c>
      <c r="D181" s="2" t="s">
        <v>24</v>
      </c>
      <c r="E181" s="2" t="s">
        <v>35</v>
      </c>
      <c r="F181" s="2" t="s">
        <v>36</v>
      </c>
      <c r="G181" s="2" t="s">
        <v>15</v>
      </c>
      <c r="H181" s="2">
        <v>82</v>
      </c>
      <c r="I181" s="2">
        <v>653.15</v>
      </c>
      <c r="J181" s="3">
        <f t="shared" si="5"/>
        <v>53558.299999999996</v>
      </c>
      <c r="K181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ED80B-5A48-4CA6-AE29-7CB7E823FC48}">
  <dimension ref="A1:AE236"/>
  <sheetViews>
    <sheetView tabSelected="1" workbookViewId="0">
      <selection activeCell="J14" sqref="J14"/>
    </sheetView>
  </sheetViews>
  <sheetFormatPr defaultRowHeight="15" x14ac:dyDescent="0.25"/>
  <cols>
    <col min="3" max="3" width="16.28515625" bestFit="1" customWidth="1"/>
    <col min="14" max="14" width="16.42578125" bestFit="1" customWidth="1"/>
  </cols>
  <sheetData>
    <row r="1" spans="1:22" ht="18.75" x14ac:dyDescent="0.3">
      <c r="A1" s="9" t="s">
        <v>123</v>
      </c>
      <c r="B1" s="9"/>
      <c r="C1" s="9"/>
      <c r="D1" s="9"/>
      <c r="E1" s="9"/>
      <c r="F1" s="9"/>
      <c r="G1" s="9"/>
      <c r="H1" s="9"/>
      <c r="I1" s="9"/>
      <c r="L1" s="10" t="s">
        <v>126</v>
      </c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x14ac:dyDescent="0.25">
      <c r="A2" s="5"/>
      <c r="B2" s="6" t="str" cm="1">
        <f t="array" ref="B2:B6">_xlfn.UNIQUE(Sales_Data!C2:C181)</f>
        <v>Dhaka</v>
      </c>
      <c r="L2" s="6" cm="1">
        <f t="array" ref="L2:V6">_xlfn._xlws.FILTER(Sales_Data!A2:K181,(Sales_Data!C2:C181="Dhaka")*(Sales_Data!K2:K181="Corporate"))</f>
        <v>1001</v>
      </c>
      <c r="M2" s="6" t="str">
        <v>2026-03-24</v>
      </c>
      <c r="N2" s="6" t="str">
        <v>Dhaka</v>
      </c>
      <c r="O2" s="6" t="str">
        <v>Dhaka</v>
      </c>
      <c r="P2" s="6" t="str">
        <v>RMG Supplies</v>
      </c>
      <c r="Q2" s="6" t="str">
        <v>Cotton Fabric Roll</v>
      </c>
      <c r="R2" s="6" t="str">
        <v>Farzana Akter</v>
      </c>
      <c r="S2" s="6">
        <v>40</v>
      </c>
      <c r="T2" s="6">
        <v>3695.53</v>
      </c>
      <c r="U2" s="6">
        <v>147821.20000000001</v>
      </c>
      <c r="V2" s="6" t="str">
        <v>Corporate</v>
      </c>
    </row>
    <row r="3" spans="1:22" x14ac:dyDescent="0.25">
      <c r="A3" s="5"/>
      <c r="B3" s="6" t="str">
        <v>Sylhet</v>
      </c>
      <c r="L3" s="6">
        <v>1024</v>
      </c>
      <c r="M3" s="6" t="str">
        <v>2026-03-02</v>
      </c>
      <c r="N3" s="6" t="str">
        <v>Dhaka</v>
      </c>
      <c r="O3" s="6" t="str">
        <v>Narayanganj</v>
      </c>
      <c r="P3" s="6" t="str">
        <v>Retail Electronics</v>
      </c>
      <c r="Q3" s="6" t="str">
        <v>Walton TV</v>
      </c>
      <c r="R3" s="6" t="str">
        <v>Jahangir Alam</v>
      </c>
      <c r="S3" s="6">
        <v>110</v>
      </c>
      <c r="T3" s="6">
        <v>2361.77</v>
      </c>
      <c r="U3" s="6">
        <v>259794.7</v>
      </c>
      <c r="V3" s="6" t="str">
        <v>Corporate</v>
      </c>
    </row>
    <row r="4" spans="1:22" x14ac:dyDescent="0.25">
      <c r="A4" s="5"/>
      <c r="B4" s="6" t="str">
        <v>Rajshahi</v>
      </c>
      <c r="L4" s="6">
        <v>1057</v>
      </c>
      <c r="M4" s="6" t="str">
        <v>2026-03-27</v>
      </c>
      <c r="N4" s="6" t="str">
        <v>Dhaka</v>
      </c>
      <c r="O4" s="6" t="str">
        <v>Gazipur</v>
      </c>
      <c r="P4" s="6" t="str">
        <v>Telecom</v>
      </c>
      <c r="Q4" s="6" t="str">
        <v>Robi Internet Pack</v>
      </c>
      <c r="R4" s="6" t="str">
        <v>Mitu Rahman</v>
      </c>
      <c r="S4" s="6">
        <v>198</v>
      </c>
      <c r="T4" s="6">
        <v>4462.5600000000004</v>
      </c>
      <c r="U4" s="6">
        <v>883586.88000000012</v>
      </c>
      <c r="V4" s="6" t="str">
        <v>Corporate</v>
      </c>
    </row>
    <row r="5" spans="1:22" x14ac:dyDescent="0.25">
      <c r="A5" s="5"/>
      <c r="B5" s="6" t="str">
        <v>Khulna</v>
      </c>
      <c r="L5" s="6">
        <v>1092</v>
      </c>
      <c r="M5" s="6" t="str">
        <v>2026-03-10</v>
      </c>
      <c r="N5" s="6" t="str">
        <v>Dhaka</v>
      </c>
      <c r="O5" s="6" t="str">
        <v>Dhaka</v>
      </c>
      <c r="P5" s="6" t="str">
        <v>Telecom</v>
      </c>
      <c r="Q5" s="6" t="str">
        <v>Robi Internet Pack</v>
      </c>
      <c r="R5" s="6" t="str">
        <v>Shahid Ahmed</v>
      </c>
      <c r="S5" s="6">
        <v>117</v>
      </c>
      <c r="T5" s="6">
        <v>665.55</v>
      </c>
      <c r="U5" s="6">
        <v>77869.349999999991</v>
      </c>
      <c r="V5" s="6" t="str">
        <v>Corporate</v>
      </c>
    </row>
    <row r="6" spans="1:22" x14ac:dyDescent="0.25">
      <c r="A6" s="5"/>
      <c r="B6" s="6" t="str">
        <v>Chattogram</v>
      </c>
      <c r="L6" s="6">
        <v>1155</v>
      </c>
      <c r="M6" s="6" t="str">
        <v>2026-01-03</v>
      </c>
      <c r="N6" s="6" t="str">
        <v>Dhaka</v>
      </c>
      <c r="O6" s="6" t="str">
        <v>Gazipur</v>
      </c>
      <c r="P6" s="6" t="str">
        <v>RMG Supplies</v>
      </c>
      <c r="Q6" s="6" t="str">
        <v>Garment Labels</v>
      </c>
      <c r="R6" s="6" t="str">
        <v>Mitu Rahman</v>
      </c>
      <c r="S6" s="6">
        <v>61</v>
      </c>
      <c r="T6" s="6">
        <v>1698.69</v>
      </c>
      <c r="U6" s="6">
        <v>103620.09</v>
      </c>
      <c r="V6" s="6" t="str">
        <v>Corporate</v>
      </c>
    </row>
    <row r="9" spans="1:22" x14ac:dyDescent="0.25">
      <c r="L9" s="4" t="s">
        <v>127</v>
      </c>
      <c r="M9" s="4"/>
      <c r="N9" s="4"/>
      <c r="O9" s="4"/>
      <c r="P9" s="4"/>
      <c r="Q9" s="4"/>
      <c r="R9" s="4"/>
      <c r="S9" s="4"/>
      <c r="T9" s="4"/>
    </row>
    <row r="10" spans="1:22" x14ac:dyDescent="0.25">
      <c r="N10" s="6" t="str" cm="1">
        <f t="array" ref="N10">IFERROR(_xlfn._xlws.FILTER(Sales_Data!A2:K181,Sales_Data!C2:C181="Barisal"),"কোনো ডেটা নেই")</f>
        <v>কোনো ডেটা নেই</v>
      </c>
      <c r="O10" s="6"/>
    </row>
    <row r="11" spans="1:22" ht="18.75" x14ac:dyDescent="0.3">
      <c r="A11" s="8" t="s">
        <v>124</v>
      </c>
      <c r="B11" s="8"/>
      <c r="C11" s="8"/>
      <c r="D11" s="8"/>
      <c r="E11" s="8"/>
    </row>
    <row r="12" spans="1:22" x14ac:dyDescent="0.25">
      <c r="C12" s="6" t="str" cm="1">
        <f t="array" ref="C12:C16">_xlfn.UNIQUE(Sales_Data!E146:E181)</f>
        <v>Mobile Banking</v>
      </c>
    </row>
    <row r="13" spans="1:22" x14ac:dyDescent="0.25">
      <c r="C13" s="6" t="str">
        <v>FMCG</v>
      </c>
    </row>
    <row r="14" spans="1:22" x14ac:dyDescent="0.25">
      <c r="C14" s="6" t="str">
        <v>Retail Electronics</v>
      </c>
    </row>
    <row r="15" spans="1:22" x14ac:dyDescent="0.25">
      <c r="C15" s="6" t="str">
        <v>RMG Supplies</v>
      </c>
    </row>
    <row r="16" spans="1:22" x14ac:dyDescent="0.25">
      <c r="C16" s="6" t="str">
        <v>Telecom</v>
      </c>
    </row>
    <row r="19" spans="1:23" ht="21" x14ac:dyDescent="0.35">
      <c r="C19" s="7" t="s">
        <v>125</v>
      </c>
      <c r="D19" s="7"/>
      <c r="E19" s="7"/>
      <c r="F19" s="7"/>
      <c r="G19" s="7"/>
      <c r="H19" s="7"/>
      <c r="I19" s="7"/>
      <c r="J19" s="7"/>
      <c r="M19" s="4" t="s">
        <v>130</v>
      </c>
      <c r="N19" s="4"/>
      <c r="O19" s="4"/>
      <c r="P19" s="4"/>
      <c r="Q19" s="4"/>
      <c r="S19" s="4" t="s">
        <v>131</v>
      </c>
      <c r="T19" s="4"/>
      <c r="U19" s="4"/>
      <c r="V19" s="4"/>
      <c r="W19" s="4"/>
    </row>
    <row r="20" spans="1:23" x14ac:dyDescent="0.25">
      <c r="A20" s="6" cm="1">
        <f t="array" ref="A20:K50">_xlfn._xlws.FILTER(Sales_Data!A2:K181,Sales_Data!C2:C181="Dhaka")</f>
        <v>1001</v>
      </c>
      <c r="B20" s="6" t="str">
        <v>2026-03-24</v>
      </c>
      <c r="C20" s="6" t="str">
        <v>Dhaka</v>
      </c>
      <c r="D20" s="6" t="str">
        <v>Dhaka</v>
      </c>
      <c r="E20" s="6" t="str">
        <v>RMG Supplies</v>
      </c>
      <c r="F20" s="6" t="str">
        <v>Cotton Fabric Roll</v>
      </c>
      <c r="G20" s="6" t="str">
        <v>Farzana Akter</v>
      </c>
      <c r="H20" s="6">
        <v>40</v>
      </c>
      <c r="I20" s="6">
        <v>3695.53</v>
      </c>
      <c r="J20" s="6">
        <v>147821.20000000001</v>
      </c>
      <c r="K20" s="6" t="str">
        <v>Corporate</v>
      </c>
      <c r="N20" s="6" cm="1">
        <f t="array" ref="N20:N29">_xlfn.SEQUENCE(10)</f>
        <v>1</v>
      </c>
      <c r="S20" s="6" cm="1">
        <f t="array" ref="S20:S24">_xlfn.SEQUENCE(5,1,100,-10)</f>
        <v>100</v>
      </c>
    </row>
    <row r="21" spans="1:23" x14ac:dyDescent="0.25">
      <c r="A21" s="6">
        <v>1002</v>
      </c>
      <c r="B21" s="6" t="str">
        <v>2026-03-20</v>
      </c>
      <c r="C21" s="6" t="str">
        <v>Dhaka</v>
      </c>
      <c r="D21" s="6" t="str">
        <v>Narayanganj</v>
      </c>
      <c r="E21" s="6" t="str">
        <v>Retail Electronics</v>
      </c>
      <c r="F21" s="6" t="str">
        <v>Walton Fridge</v>
      </c>
      <c r="G21" s="6" t="str">
        <v>Rafiq Islam</v>
      </c>
      <c r="H21" s="6">
        <v>28</v>
      </c>
      <c r="I21" s="6">
        <v>1132.26</v>
      </c>
      <c r="J21" s="6">
        <v>31703.279999999999</v>
      </c>
      <c r="K21" s="6" t="str">
        <v>Retail</v>
      </c>
      <c r="N21" s="6">
        <v>2</v>
      </c>
      <c r="S21" s="6">
        <v>90</v>
      </c>
    </row>
    <row r="22" spans="1:23" x14ac:dyDescent="0.25">
      <c r="A22" s="6">
        <v>1007</v>
      </c>
      <c r="B22" s="6" t="str">
        <v>2026-02-06</v>
      </c>
      <c r="C22" s="6" t="str">
        <v>Dhaka</v>
      </c>
      <c r="D22" s="6" t="str">
        <v>Dhaka</v>
      </c>
      <c r="E22" s="6" t="str">
        <v>Mobile Banking</v>
      </c>
      <c r="F22" s="6" t="str">
        <v>Nagad POS Device</v>
      </c>
      <c r="G22" s="6" t="str">
        <v>Shahid Ahmed</v>
      </c>
      <c r="H22" s="6">
        <v>121</v>
      </c>
      <c r="I22" s="6">
        <v>3196.64</v>
      </c>
      <c r="J22" s="6">
        <v>386793.44</v>
      </c>
      <c r="K22" s="6" t="str">
        <v>Wholesale</v>
      </c>
      <c r="N22" s="6">
        <v>3</v>
      </c>
      <c r="S22" s="6">
        <v>80</v>
      </c>
    </row>
    <row r="23" spans="1:23" x14ac:dyDescent="0.25">
      <c r="A23" s="6">
        <v>1013</v>
      </c>
      <c r="B23" s="6" t="str">
        <v>2026-01-13</v>
      </c>
      <c r="C23" s="6" t="str">
        <v>Dhaka</v>
      </c>
      <c r="D23" s="6" t="str">
        <v>Dhaka</v>
      </c>
      <c r="E23" s="6" t="str">
        <v>Mobile Banking</v>
      </c>
      <c r="F23" s="6" t="str">
        <v>bKash Agent Kit</v>
      </c>
      <c r="G23" s="6" t="str">
        <v>Kamal Hossain</v>
      </c>
      <c r="H23" s="6">
        <v>179</v>
      </c>
      <c r="I23" s="6">
        <v>2139.69</v>
      </c>
      <c r="J23" s="6">
        <v>383004.51</v>
      </c>
      <c r="K23" s="6" t="str">
        <v>Wholesale</v>
      </c>
      <c r="N23" s="6">
        <v>4</v>
      </c>
      <c r="S23" s="6">
        <v>70</v>
      </c>
    </row>
    <row r="24" spans="1:23" x14ac:dyDescent="0.25">
      <c r="A24" s="6">
        <v>1022</v>
      </c>
      <c r="B24" s="6" t="str">
        <v>2026-02-22</v>
      </c>
      <c r="C24" s="6" t="str">
        <v>Dhaka</v>
      </c>
      <c r="D24" s="6" t="str">
        <v>Dhaka</v>
      </c>
      <c r="E24" s="6" t="str">
        <v>Mobile Banking</v>
      </c>
      <c r="F24" s="6" t="str">
        <v>bKash Agent Kit</v>
      </c>
      <c r="G24" s="6" t="str">
        <v>Mitu Rahman</v>
      </c>
      <c r="H24" s="6">
        <v>23</v>
      </c>
      <c r="I24" s="6">
        <v>2595.0700000000002</v>
      </c>
      <c r="J24" s="6">
        <v>59686.61</v>
      </c>
      <c r="K24" s="6" t="str">
        <v>Wholesale</v>
      </c>
      <c r="N24" s="6">
        <v>5</v>
      </c>
      <c r="S24" s="6">
        <v>60</v>
      </c>
    </row>
    <row r="25" spans="1:23" x14ac:dyDescent="0.25">
      <c r="A25" s="6">
        <v>1024</v>
      </c>
      <c r="B25" s="6" t="str">
        <v>2026-03-02</v>
      </c>
      <c r="C25" s="6" t="str">
        <v>Dhaka</v>
      </c>
      <c r="D25" s="6" t="str">
        <v>Narayanganj</v>
      </c>
      <c r="E25" s="6" t="str">
        <v>Retail Electronics</v>
      </c>
      <c r="F25" s="6" t="str">
        <v>Walton TV</v>
      </c>
      <c r="G25" s="6" t="str">
        <v>Jahangir Alam</v>
      </c>
      <c r="H25" s="6">
        <v>110</v>
      </c>
      <c r="I25" s="6">
        <v>2361.77</v>
      </c>
      <c r="J25" s="6">
        <v>259794.7</v>
      </c>
      <c r="K25" s="6" t="str">
        <v>Corporate</v>
      </c>
      <c r="N25" s="6">
        <v>6</v>
      </c>
    </row>
    <row r="26" spans="1:23" x14ac:dyDescent="0.25">
      <c r="A26" s="6">
        <v>1025</v>
      </c>
      <c r="B26" s="6" t="str">
        <v>2026-01-18</v>
      </c>
      <c r="C26" s="6" t="str">
        <v>Dhaka</v>
      </c>
      <c r="D26" s="6" t="str">
        <v>Dhaka</v>
      </c>
      <c r="E26" s="6" t="str">
        <v>Retail Electronics</v>
      </c>
      <c r="F26" s="6" t="str">
        <v>Singer Blender</v>
      </c>
      <c r="G26" s="6" t="str">
        <v>Mitu Rahman</v>
      </c>
      <c r="H26" s="6">
        <v>32</v>
      </c>
      <c r="I26" s="6">
        <v>1280.8499999999999</v>
      </c>
      <c r="J26" s="6">
        <v>40987.199999999997</v>
      </c>
      <c r="K26" s="6" t="str">
        <v>Wholesale</v>
      </c>
      <c r="N26" s="6">
        <v>7</v>
      </c>
    </row>
    <row r="27" spans="1:23" x14ac:dyDescent="0.25">
      <c r="A27" s="6">
        <v>1027</v>
      </c>
      <c r="B27" s="6" t="str">
        <v>2026-01-14</v>
      </c>
      <c r="C27" s="6" t="str">
        <v>Dhaka</v>
      </c>
      <c r="D27" s="6" t="str">
        <v>Dhaka</v>
      </c>
      <c r="E27" s="6" t="str">
        <v>FMCG</v>
      </c>
      <c r="F27" s="6" t="str">
        <v>ACI Soap Pack</v>
      </c>
      <c r="G27" s="6" t="str">
        <v>Nusrat Jahan</v>
      </c>
      <c r="H27" s="6">
        <v>197</v>
      </c>
      <c r="I27" s="6">
        <v>4251.04</v>
      </c>
      <c r="J27" s="6">
        <v>837454.88</v>
      </c>
      <c r="K27" s="6" t="str">
        <v>Wholesale</v>
      </c>
      <c r="N27" s="6">
        <v>8</v>
      </c>
    </row>
    <row r="28" spans="1:23" x14ac:dyDescent="0.25">
      <c r="A28" s="6">
        <v>1034</v>
      </c>
      <c r="B28" s="6" t="str">
        <v>2026-03-09</v>
      </c>
      <c r="C28" s="6" t="str">
        <v>Dhaka</v>
      </c>
      <c r="D28" s="6" t="str">
        <v>Dhaka</v>
      </c>
      <c r="E28" s="6" t="str">
        <v>Retail Electronics</v>
      </c>
      <c r="F28" s="6" t="str">
        <v>Singer Blender</v>
      </c>
      <c r="G28" s="6" t="str">
        <v>Nusrat Jahan</v>
      </c>
      <c r="H28" s="6">
        <v>23</v>
      </c>
      <c r="I28" s="6">
        <v>2711.29</v>
      </c>
      <c r="J28" s="6">
        <v>62359.67</v>
      </c>
      <c r="K28" s="6" t="str">
        <v>Retail</v>
      </c>
      <c r="N28" s="6">
        <v>9</v>
      </c>
    </row>
    <row r="29" spans="1:23" x14ac:dyDescent="0.25">
      <c r="A29" s="6">
        <v>1040</v>
      </c>
      <c r="B29" s="6" t="str">
        <v>2026-01-14</v>
      </c>
      <c r="C29" s="6" t="str">
        <v>Dhaka</v>
      </c>
      <c r="D29" s="6" t="str">
        <v>Narayanganj</v>
      </c>
      <c r="E29" s="6" t="str">
        <v>Telecom</v>
      </c>
      <c r="F29" s="6" t="str">
        <v>Banglalink Bundle</v>
      </c>
      <c r="G29" s="6" t="str">
        <v>Rafiq Islam</v>
      </c>
      <c r="H29" s="6">
        <v>99</v>
      </c>
      <c r="I29" s="6">
        <v>2933.42</v>
      </c>
      <c r="J29" s="6">
        <v>290408.58</v>
      </c>
      <c r="K29" s="6" t="str">
        <v>Retail</v>
      </c>
      <c r="N29" s="6">
        <v>10</v>
      </c>
    </row>
    <row r="30" spans="1:23" x14ac:dyDescent="0.25">
      <c r="A30" s="6">
        <v>1041</v>
      </c>
      <c r="B30" s="6" t="str">
        <v>2026-03-04</v>
      </c>
      <c r="C30" s="6" t="str">
        <v>Dhaka</v>
      </c>
      <c r="D30" s="6" t="str">
        <v>Gazipur</v>
      </c>
      <c r="E30" s="6" t="str">
        <v>RMG Supplies</v>
      </c>
      <c r="F30" s="6" t="str">
        <v>Cotton Fabric Roll</v>
      </c>
      <c r="G30" s="6" t="str">
        <v>Mitu Rahman</v>
      </c>
      <c r="H30" s="6">
        <v>58</v>
      </c>
      <c r="I30" s="6">
        <v>3426.23</v>
      </c>
      <c r="J30" s="6">
        <v>198721.34</v>
      </c>
      <c r="K30" s="6" t="str">
        <v>Wholesale</v>
      </c>
    </row>
    <row r="31" spans="1:23" x14ac:dyDescent="0.25">
      <c r="A31" s="6">
        <v>1044</v>
      </c>
      <c r="B31" s="6" t="str">
        <v>2026-01-08</v>
      </c>
      <c r="C31" s="6" t="str">
        <v>Dhaka</v>
      </c>
      <c r="D31" s="6" t="str">
        <v>Gazipur</v>
      </c>
      <c r="E31" s="6" t="str">
        <v>Telecom</v>
      </c>
      <c r="F31" s="6" t="str">
        <v>Grameenphone SIM</v>
      </c>
      <c r="G31" s="6" t="str">
        <v>Sumaiya Khan</v>
      </c>
      <c r="H31" s="6">
        <v>94</v>
      </c>
      <c r="I31" s="6">
        <v>1560.69</v>
      </c>
      <c r="J31" s="6">
        <v>146704.86000000002</v>
      </c>
      <c r="K31" s="6" t="str">
        <v>Retail</v>
      </c>
    </row>
    <row r="32" spans="1:23" x14ac:dyDescent="0.25">
      <c r="A32" s="6">
        <v>1056</v>
      </c>
      <c r="B32" s="6" t="str">
        <v>2026-01-18</v>
      </c>
      <c r="C32" s="6" t="str">
        <v>Dhaka</v>
      </c>
      <c r="D32" s="6" t="str">
        <v>Dhaka</v>
      </c>
      <c r="E32" s="6" t="str">
        <v>Retail Electronics</v>
      </c>
      <c r="F32" s="6" t="str">
        <v>Walton Fridge</v>
      </c>
      <c r="G32" s="6" t="str">
        <v>Kamal Hossain</v>
      </c>
      <c r="H32" s="6">
        <v>183</v>
      </c>
      <c r="I32" s="6">
        <v>2613.89</v>
      </c>
      <c r="J32" s="6">
        <v>478341.87</v>
      </c>
      <c r="K32" s="6" t="str">
        <v>Retail</v>
      </c>
    </row>
    <row r="33" spans="1:11" x14ac:dyDescent="0.25">
      <c r="A33" s="6">
        <v>1057</v>
      </c>
      <c r="B33" s="6" t="str">
        <v>2026-03-27</v>
      </c>
      <c r="C33" s="6" t="str">
        <v>Dhaka</v>
      </c>
      <c r="D33" s="6" t="str">
        <v>Gazipur</v>
      </c>
      <c r="E33" s="6" t="str">
        <v>Telecom</v>
      </c>
      <c r="F33" s="6" t="str">
        <v>Robi Internet Pack</v>
      </c>
      <c r="G33" s="6" t="str">
        <v>Mitu Rahman</v>
      </c>
      <c r="H33" s="6">
        <v>198</v>
      </c>
      <c r="I33" s="6">
        <v>4462.5600000000004</v>
      </c>
      <c r="J33" s="6">
        <v>883586.88000000012</v>
      </c>
      <c r="K33" s="6" t="str">
        <v>Corporate</v>
      </c>
    </row>
    <row r="34" spans="1:11" x14ac:dyDescent="0.25">
      <c r="A34" s="6">
        <v>1062</v>
      </c>
      <c r="B34" s="6" t="str">
        <v>2026-02-28</v>
      </c>
      <c r="C34" s="6" t="str">
        <v>Dhaka</v>
      </c>
      <c r="D34" s="6" t="str">
        <v>Narayanganj</v>
      </c>
      <c r="E34" s="6" t="str">
        <v>Retail Electronics</v>
      </c>
      <c r="F34" s="6" t="str">
        <v>Walton TV</v>
      </c>
      <c r="G34" s="6" t="str">
        <v>Rafiq Islam</v>
      </c>
      <c r="H34" s="6">
        <v>95</v>
      </c>
      <c r="I34" s="6">
        <v>1528.13</v>
      </c>
      <c r="J34" s="6">
        <v>145172.35</v>
      </c>
      <c r="K34" s="6" t="str">
        <v>Wholesale</v>
      </c>
    </row>
    <row r="35" spans="1:11" x14ac:dyDescent="0.25">
      <c r="A35" s="6">
        <v>1082</v>
      </c>
      <c r="B35" s="6" t="str">
        <v>2026-03-18</v>
      </c>
      <c r="C35" s="6" t="str">
        <v>Dhaka</v>
      </c>
      <c r="D35" s="6" t="str">
        <v>Dhaka</v>
      </c>
      <c r="E35" s="6" t="str">
        <v>RMG Supplies</v>
      </c>
      <c r="F35" s="6" t="str">
        <v>Cotton Fabric Roll</v>
      </c>
      <c r="G35" s="6" t="str">
        <v>Mitu Rahman</v>
      </c>
      <c r="H35" s="6">
        <v>50</v>
      </c>
      <c r="I35" s="6">
        <v>1546.22</v>
      </c>
      <c r="J35" s="6">
        <v>77311</v>
      </c>
      <c r="K35" s="6" t="str">
        <v>Retail</v>
      </c>
    </row>
    <row r="36" spans="1:11" x14ac:dyDescent="0.25">
      <c r="A36" s="6">
        <v>1084</v>
      </c>
      <c r="B36" s="6" t="str">
        <v>2026-01-02</v>
      </c>
      <c r="C36" s="6" t="str">
        <v>Dhaka</v>
      </c>
      <c r="D36" s="6" t="str">
        <v>Dhaka</v>
      </c>
      <c r="E36" s="6" t="str">
        <v>FMCG</v>
      </c>
      <c r="F36" s="6" t="str">
        <v>Pran Juice Carton</v>
      </c>
      <c r="G36" s="6" t="str">
        <v>Sumaiya Khan</v>
      </c>
      <c r="H36" s="6">
        <v>127</v>
      </c>
      <c r="I36" s="6">
        <v>2230.3200000000002</v>
      </c>
      <c r="J36" s="6">
        <v>283250.64</v>
      </c>
      <c r="K36" s="6" t="str">
        <v>Wholesale</v>
      </c>
    </row>
    <row r="37" spans="1:11" x14ac:dyDescent="0.25">
      <c r="A37" s="6">
        <v>1088</v>
      </c>
      <c r="B37" s="6" t="str">
        <v>2026-01-08</v>
      </c>
      <c r="C37" s="6" t="str">
        <v>Dhaka</v>
      </c>
      <c r="D37" s="6" t="str">
        <v>Narayanganj</v>
      </c>
      <c r="E37" s="6" t="str">
        <v>Mobile Banking</v>
      </c>
      <c r="F37" s="6" t="str">
        <v>bKash Agent Kit</v>
      </c>
      <c r="G37" s="6" t="str">
        <v>Farzana Akter</v>
      </c>
      <c r="H37" s="6">
        <v>72</v>
      </c>
      <c r="I37" s="6">
        <v>3319.12</v>
      </c>
      <c r="J37" s="6">
        <v>238976.63999999998</v>
      </c>
      <c r="K37" s="6" t="str">
        <v>Retail</v>
      </c>
    </row>
    <row r="38" spans="1:11" x14ac:dyDescent="0.25">
      <c r="A38" s="6">
        <v>1092</v>
      </c>
      <c r="B38" s="6" t="str">
        <v>2026-03-10</v>
      </c>
      <c r="C38" s="6" t="str">
        <v>Dhaka</v>
      </c>
      <c r="D38" s="6" t="str">
        <v>Dhaka</v>
      </c>
      <c r="E38" s="6" t="str">
        <v>Telecom</v>
      </c>
      <c r="F38" s="6" t="str">
        <v>Robi Internet Pack</v>
      </c>
      <c r="G38" s="6" t="str">
        <v>Shahid Ahmed</v>
      </c>
      <c r="H38" s="6">
        <v>117</v>
      </c>
      <c r="I38" s="6">
        <v>665.55</v>
      </c>
      <c r="J38" s="6">
        <v>77869.349999999991</v>
      </c>
      <c r="K38" s="6" t="str">
        <v>Corporate</v>
      </c>
    </row>
    <row r="39" spans="1:11" x14ac:dyDescent="0.25">
      <c r="A39" s="6">
        <v>1115</v>
      </c>
      <c r="B39" s="6" t="str">
        <v>2026-02-19</v>
      </c>
      <c r="C39" s="6" t="str">
        <v>Dhaka</v>
      </c>
      <c r="D39" s="6" t="str">
        <v>Gazipur</v>
      </c>
      <c r="E39" s="6" t="str">
        <v>RMG Supplies</v>
      </c>
      <c r="F39" s="6" t="str">
        <v>Garment Labels</v>
      </c>
      <c r="G39" s="6" t="str">
        <v>Kamal Hossain</v>
      </c>
      <c r="H39" s="6">
        <v>23</v>
      </c>
      <c r="I39" s="6">
        <v>2236.56</v>
      </c>
      <c r="J39" s="6">
        <v>51440.88</v>
      </c>
      <c r="K39" s="6" t="str">
        <v>Wholesale</v>
      </c>
    </row>
    <row r="40" spans="1:11" x14ac:dyDescent="0.25">
      <c r="A40" s="6">
        <v>1118</v>
      </c>
      <c r="B40" s="6" t="str">
        <v>2026-01-20</v>
      </c>
      <c r="C40" s="6" t="str">
        <v>Dhaka</v>
      </c>
      <c r="D40" s="6" t="str">
        <v>Narayanganj</v>
      </c>
      <c r="E40" s="6" t="str">
        <v>Mobile Banking</v>
      </c>
      <c r="F40" s="6" t="str">
        <v>Rocket Sim Pack</v>
      </c>
      <c r="G40" s="6" t="str">
        <v>Sumaiya Khan</v>
      </c>
      <c r="H40" s="6">
        <v>78</v>
      </c>
      <c r="I40" s="6">
        <v>3889.92</v>
      </c>
      <c r="J40" s="6">
        <v>303413.76000000001</v>
      </c>
      <c r="K40" s="6" t="str">
        <v>Wholesale</v>
      </c>
    </row>
    <row r="41" spans="1:11" x14ac:dyDescent="0.25">
      <c r="A41" s="6">
        <v>1133</v>
      </c>
      <c r="B41" s="6" t="str">
        <v>2026-01-24</v>
      </c>
      <c r="C41" s="6" t="str">
        <v>Dhaka</v>
      </c>
      <c r="D41" s="6" t="str">
        <v>Dhaka</v>
      </c>
      <c r="E41" s="6" t="str">
        <v>RMG Supplies</v>
      </c>
      <c r="F41" s="6" t="str">
        <v>Cotton Fabric Roll</v>
      </c>
      <c r="G41" s="6" t="str">
        <v>Kamal Hossain</v>
      </c>
      <c r="H41" s="6">
        <v>194</v>
      </c>
      <c r="I41" s="6">
        <v>2133.75</v>
      </c>
      <c r="J41" s="6">
        <v>413947.5</v>
      </c>
      <c r="K41" s="6" t="str">
        <v>Retail</v>
      </c>
    </row>
    <row r="42" spans="1:11" x14ac:dyDescent="0.25">
      <c r="A42" s="6">
        <v>1136</v>
      </c>
      <c r="B42" s="6" t="str">
        <v>2026-01-05</v>
      </c>
      <c r="C42" s="6" t="str">
        <v>Dhaka</v>
      </c>
      <c r="D42" s="6" t="str">
        <v>Gazipur</v>
      </c>
      <c r="E42" s="6" t="str">
        <v>Retail Electronics</v>
      </c>
      <c r="F42" s="6" t="str">
        <v>Walton Fridge</v>
      </c>
      <c r="G42" s="6" t="str">
        <v>Nusrat Jahan</v>
      </c>
      <c r="H42" s="6">
        <v>87</v>
      </c>
      <c r="I42" s="6">
        <v>3061.07</v>
      </c>
      <c r="J42" s="6">
        <v>266313.09000000003</v>
      </c>
      <c r="K42" s="6" t="str">
        <v>Wholesale</v>
      </c>
    </row>
    <row r="43" spans="1:11" x14ac:dyDescent="0.25">
      <c r="A43" s="6">
        <v>1138</v>
      </c>
      <c r="B43" s="6" t="str">
        <v>2026-01-14</v>
      </c>
      <c r="C43" s="6" t="str">
        <v>Dhaka</v>
      </c>
      <c r="D43" s="6" t="str">
        <v>Narayanganj</v>
      </c>
      <c r="E43" s="6" t="str">
        <v>FMCG</v>
      </c>
      <c r="F43" s="6" t="str">
        <v>Square Toiletries</v>
      </c>
      <c r="G43" s="6" t="str">
        <v>Farzana Akter</v>
      </c>
      <c r="H43" s="6">
        <v>115</v>
      </c>
      <c r="I43" s="6">
        <v>2285.1999999999998</v>
      </c>
      <c r="J43" s="6">
        <v>262798</v>
      </c>
      <c r="K43" s="6" t="str">
        <v>Wholesale</v>
      </c>
    </row>
    <row r="44" spans="1:11" x14ac:dyDescent="0.25">
      <c r="A44" s="6">
        <v>1146</v>
      </c>
      <c r="B44" s="6" t="str">
        <v>2026-01-12</v>
      </c>
      <c r="C44" s="6" t="str">
        <v>Dhaka</v>
      </c>
      <c r="D44" s="6" t="str">
        <v>Dhaka</v>
      </c>
      <c r="E44" s="6" t="str">
        <v>FMCG</v>
      </c>
      <c r="F44" s="6" t="str">
        <v>ACI Soap Pack</v>
      </c>
      <c r="G44" s="6" t="str">
        <v>Jahangir Alam</v>
      </c>
      <c r="H44" s="6">
        <v>112</v>
      </c>
      <c r="I44" s="6">
        <v>2295.5500000000002</v>
      </c>
      <c r="J44" s="6">
        <v>257101.60000000003</v>
      </c>
      <c r="K44" s="6" t="str">
        <v>Wholesale</v>
      </c>
    </row>
    <row r="45" spans="1:11" x14ac:dyDescent="0.25">
      <c r="A45" s="6">
        <v>1151</v>
      </c>
      <c r="B45" s="6" t="str">
        <v>2026-03-23</v>
      </c>
      <c r="C45" s="6" t="str">
        <v>Dhaka</v>
      </c>
      <c r="D45" s="6" t="str">
        <v>Dhaka</v>
      </c>
      <c r="E45" s="6" t="str">
        <v>Retail Electronics</v>
      </c>
      <c r="F45" s="6" t="str">
        <v>Singer Blender</v>
      </c>
      <c r="G45" s="6" t="str">
        <v>Jahangir Alam</v>
      </c>
      <c r="H45" s="6">
        <v>49</v>
      </c>
      <c r="I45" s="6">
        <v>689.47</v>
      </c>
      <c r="J45" s="6">
        <v>33784.03</v>
      </c>
      <c r="K45" s="6" t="str">
        <v>Retail</v>
      </c>
    </row>
    <row r="46" spans="1:11" x14ac:dyDescent="0.25">
      <c r="A46" s="6">
        <v>1155</v>
      </c>
      <c r="B46" s="6" t="str">
        <v>2026-01-03</v>
      </c>
      <c r="C46" s="6" t="str">
        <v>Dhaka</v>
      </c>
      <c r="D46" s="6" t="str">
        <v>Gazipur</v>
      </c>
      <c r="E46" s="6" t="str">
        <v>RMG Supplies</v>
      </c>
      <c r="F46" s="6" t="str">
        <v>Garment Labels</v>
      </c>
      <c r="G46" s="6" t="str">
        <v>Mitu Rahman</v>
      </c>
      <c r="H46" s="6">
        <v>61</v>
      </c>
      <c r="I46" s="6">
        <v>1698.69</v>
      </c>
      <c r="J46" s="6">
        <v>103620.09</v>
      </c>
      <c r="K46" s="6" t="str">
        <v>Corporate</v>
      </c>
    </row>
    <row r="47" spans="1:11" x14ac:dyDescent="0.25">
      <c r="A47" s="6">
        <v>1156</v>
      </c>
      <c r="B47" s="6" t="str">
        <v>2026-03-27</v>
      </c>
      <c r="C47" s="6" t="str">
        <v>Dhaka</v>
      </c>
      <c r="D47" s="6" t="str">
        <v>Narayanganj</v>
      </c>
      <c r="E47" s="6" t="str">
        <v>FMCG</v>
      </c>
      <c r="F47" s="6" t="str">
        <v>ACI Soap Pack</v>
      </c>
      <c r="G47" s="6" t="str">
        <v>Mitu Rahman</v>
      </c>
      <c r="H47" s="6">
        <v>94</v>
      </c>
      <c r="I47" s="6">
        <v>3650.53</v>
      </c>
      <c r="J47" s="6">
        <v>343149.82</v>
      </c>
      <c r="K47" s="6" t="str">
        <v>Retail</v>
      </c>
    </row>
    <row r="48" spans="1:11" x14ac:dyDescent="0.25">
      <c r="A48" s="6">
        <v>1165</v>
      </c>
      <c r="B48" s="6" t="str">
        <v>2026-02-10</v>
      </c>
      <c r="C48" s="6" t="str">
        <v>Dhaka</v>
      </c>
      <c r="D48" s="6" t="str">
        <v>Narayanganj</v>
      </c>
      <c r="E48" s="6" t="str">
        <v>RMG Supplies</v>
      </c>
      <c r="F48" s="6" t="str">
        <v>Cotton Fabric Roll</v>
      </c>
      <c r="G48" s="6" t="str">
        <v>Mitu Rahman</v>
      </c>
      <c r="H48" s="6">
        <v>29</v>
      </c>
      <c r="I48" s="6">
        <v>2811.92</v>
      </c>
      <c r="J48" s="6">
        <v>81545.680000000008</v>
      </c>
      <c r="K48" s="6" t="str">
        <v>Wholesale</v>
      </c>
    </row>
    <row r="49" spans="1:31" x14ac:dyDescent="0.25">
      <c r="A49" s="6">
        <v>1175</v>
      </c>
      <c r="B49" s="6" t="str">
        <v>2026-01-27</v>
      </c>
      <c r="C49" s="6" t="str">
        <v>Dhaka</v>
      </c>
      <c r="D49" s="6" t="str">
        <v>Gazipur</v>
      </c>
      <c r="E49" s="6" t="str">
        <v>Mobile Banking</v>
      </c>
      <c r="F49" s="6" t="str">
        <v>bKash Agent Kit</v>
      </c>
      <c r="G49" s="6" t="str">
        <v>Shahid Ahmed</v>
      </c>
      <c r="H49" s="6">
        <v>120</v>
      </c>
      <c r="I49" s="6">
        <v>4531.2700000000004</v>
      </c>
      <c r="J49" s="6">
        <v>543752.4</v>
      </c>
      <c r="K49" s="6" t="str">
        <v>Wholesale</v>
      </c>
    </row>
    <row r="50" spans="1:31" x14ac:dyDescent="0.25">
      <c r="A50" s="6">
        <v>1176</v>
      </c>
      <c r="B50" s="6" t="str">
        <v>2026-03-12</v>
      </c>
      <c r="C50" s="6" t="str">
        <v>Dhaka</v>
      </c>
      <c r="D50" s="6" t="str">
        <v>Dhaka</v>
      </c>
      <c r="E50" s="6" t="str">
        <v>Retail Electronics</v>
      </c>
      <c r="F50" s="6" t="str">
        <v>Walton TV</v>
      </c>
      <c r="G50" s="6" t="str">
        <v>Rafiq Islam</v>
      </c>
      <c r="H50" s="6">
        <v>111</v>
      </c>
      <c r="I50" s="6">
        <v>313.62</v>
      </c>
      <c r="J50" s="6">
        <v>34811.82</v>
      </c>
      <c r="K50" s="6" t="str">
        <v>Retail</v>
      </c>
    </row>
    <row r="56" spans="1:31" ht="18.75" x14ac:dyDescent="0.3">
      <c r="B56" s="10" t="s">
        <v>128</v>
      </c>
      <c r="C56" s="10"/>
      <c r="D56" s="10"/>
      <c r="E56" s="10"/>
      <c r="F56" s="10"/>
      <c r="G56" s="10"/>
      <c r="H56" s="10"/>
      <c r="I56" s="10"/>
      <c r="J56" s="10"/>
      <c r="N56" s="4" t="s">
        <v>129</v>
      </c>
      <c r="O56" s="4"/>
      <c r="P56" s="4"/>
      <c r="Q56" s="4"/>
      <c r="R56" s="4"/>
      <c r="S56" s="4"/>
      <c r="U56" s="4" t="s">
        <v>132</v>
      </c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x14ac:dyDescent="0.25">
      <c r="A57" s="6" cm="1">
        <f t="array" ref="A57:K236">_xlfn._xlws.SORT(Sales_Data!A2:K181,10,-1)</f>
        <v>1057</v>
      </c>
      <c r="B57" s="6" t="str">
        <v>2026-03-27</v>
      </c>
      <c r="C57" s="6" t="str">
        <v>Dhaka</v>
      </c>
      <c r="D57" s="6" t="str">
        <v>Gazipur</v>
      </c>
      <c r="E57" s="6" t="str">
        <v>Telecom</v>
      </c>
      <c r="F57" s="6" t="str">
        <v>Robi Internet Pack</v>
      </c>
      <c r="G57" s="6" t="str">
        <v>Mitu Rahman</v>
      </c>
      <c r="H57" s="6">
        <v>198</v>
      </c>
      <c r="I57" s="6">
        <v>4462.5600000000004</v>
      </c>
      <c r="J57" s="6">
        <v>883586.88000000012</v>
      </c>
      <c r="K57" s="6" t="str">
        <v>Corporate</v>
      </c>
      <c r="N57" s="6" t="str" cm="1">
        <f t="array" ref="N57:N236">_xlfn.SORTBY(Sales_Data!G2:G181,Sales_Data!J2:J181,-1)</f>
        <v>Mitu Rahman</v>
      </c>
      <c r="U57" s="6" cm="1">
        <f t="array" ref="U57:AE88">_xlfn._xlws.SORT(_xlfn._xlws.FILTER(Sales_Data!A2:K181,Sales_Data!C2:C181="Chattogram"),10,-1)</f>
        <v>1087</v>
      </c>
      <c r="V57" s="6" t="str">
        <v>2026-02-19</v>
      </c>
      <c r="W57" s="6" t="str">
        <v>Chattogram</v>
      </c>
      <c r="X57" s="6" t="str">
        <v>Cox's Bazar</v>
      </c>
      <c r="Y57" s="6" t="str">
        <v>Retail Electronics</v>
      </c>
      <c r="Z57" s="6" t="str">
        <v>Walton TV</v>
      </c>
      <c r="AA57" s="6" t="str">
        <v>Shahid Ahmed</v>
      </c>
      <c r="AB57" s="6">
        <v>155</v>
      </c>
      <c r="AC57" s="6">
        <v>4950.6499999999996</v>
      </c>
      <c r="AD57" s="6">
        <v>767350.75</v>
      </c>
      <c r="AE57" s="6" t="str">
        <v>Corporate</v>
      </c>
    </row>
    <row r="58" spans="1:31" x14ac:dyDescent="0.25">
      <c r="A58" s="6">
        <v>1083</v>
      </c>
      <c r="B58" s="6" t="str">
        <v>2026-03-28</v>
      </c>
      <c r="C58" s="6" t="str">
        <v>Khulna</v>
      </c>
      <c r="D58" s="6" t="str">
        <v>Khulna</v>
      </c>
      <c r="E58" s="6" t="str">
        <v>Mobile Banking</v>
      </c>
      <c r="F58" s="6" t="str">
        <v>Rocket Sim Pack</v>
      </c>
      <c r="G58" s="6" t="str">
        <v>Shahid Ahmed</v>
      </c>
      <c r="H58" s="6">
        <v>183</v>
      </c>
      <c r="I58" s="6">
        <v>4723.24</v>
      </c>
      <c r="J58" s="6">
        <v>864352.91999999993</v>
      </c>
      <c r="K58" s="6" t="str">
        <v>Wholesale</v>
      </c>
      <c r="N58" s="6" t="str">
        <v>Shahid Ahmed</v>
      </c>
      <c r="U58" s="6">
        <v>1178</v>
      </c>
      <c r="V58" s="6" t="str">
        <v>2026-03-16</v>
      </c>
      <c r="W58" s="6" t="str">
        <v>Chattogram</v>
      </c>
      <c r="X58" s="6" t="str">
        <v>Chattogram</v>
      </c>
      <c r="Y58" s="6" t="str">
        <v>Mobile Banking</v>
      </c>
      <c r="Z58" s="6" t="str">
        <v>Nagad POS Device</v>
      </c>
      <c r="AA58" s="6" t="str">
        <v>Sumaiya Khan</v>
      </c>
      <c r="AB58" s="6">
        <v>183</v>
      </c>
      <c r="AC58" s="6">
        <v>4164</v>
      </c>
      <c r="AD58" s="6">
        <v>762012</v>
      </c>
      <c r="AE58" s="6" t="str">
        <v>Wholesale</v>
      </c>
    </row>
    <row r="59" spans="1:31" x14ac:dyDescent="0.25">
      <c r="A59" s="6">
        <v>1058</v>
      </c>
      <c r="B59" s="6" t="str">
        <v>2026-02-09</v>
      </c>
      <c r="C59" s="6" t="str">
        <v>Sylhet</v>
      </c>
      <c r="D59" s="6" t="str">
        <v>Sylhet</v>
      </c>
      <c r="E59" s="6" t="str">
        <v>FMCG</v>
      </c>
      <c r="F59" s="6" t="str">
        <v>Pran Juice Carton</v>
      </c>
      <c r="G59" s="6" t="str">
        <v>Kamal Hossain</v>
      </c>
      <c r="H59" s="6">
        <v>195</v>
      </c>
      <c r="I59" s="6">
        <v>4314.3999999999996</v>
      </c>
      <c r="J59" s="6">
        <v>841307.99999999988</v>
      </c>
      <c r="K59" s="6" t="str">
        <v>Retail</v>
      </c>
      <c r="N59" s="6" t="str">
        <v>Kamal Hossain</v>
      </c>
      <c r="U59" s="6">
        <v>1073</v>
      </c>
      <c r="V59" s="6" t="str">
        <v>2026-03-25</v>
      </c>
      <c r="W59" s="6" t="str">
        <v>Chattogram</v>
      </c>
      <c r="X59" s="6" t="str">
        <v>Cox's Bazar</v>
      </c>
      <c r="Y59" s="6" t="str">
        <v>Telecom</v>
      </c>
      <c r="Z59" s="6" t="str">
        <v>Banglalink Bundle</v>
      </c>
      <c r="AA59" s="6" t="str">
        <v>Shahid Ahmed</v>
      </c>
      <c r="AB59" s="6">
        <v>162</v>
      </c>
      <c r="AC59" s="6">
        <v>4050.59</v>
      </c>
      <c r="AD59" s="6">
        <v>656195.58000000007</v>
      </c>
      <c r="AE59" s="6" t="str">
        <v>Wholesale</v>
      </c>
    </row>
    <row r="60" spans="1:31" x14ac:dyDescent="0.25">
      <c r="A60" s="6">
        <v>1027</v>
      </c>
      <c r="B60" s="6" t="str">
        <v>2026-01-14</v>
      </c>
      <c r="C60" s="6" t="str">
        <v>Dhaka</v>
      </c>
      <c r="D60" s="6" t="str">
        <v>Dhaka</v>
      </c>
      <c r="E60" s="6" t="str">
        <v>FMCG</v>
      </c>
      <c r="F60" s="6" t="str">
        <v>ACI Soap Pack</v>
      </c>
      <c r="G60" s="6" t="str">
        <v>Nusrat Jahan</v>
      </c>
      <c r="H60" s="6">
        <v>197</v>
      </c>
      <c r="I60" s="6">
        <v>4251.04</v>
      </c>
      <c r="J60" s="6">
        <v>837454.88</v>
      </c>
      <c r="K60" s="6" t="str">
        <v>Wholesale</v>
      </c>
      <c r="N60" s="6" t="str">
        <v>Nusrat Jahan</v>
      </c>
      <c r="U60" s="6">
        <v>1086</v>
      </c>
      <c r="V60" s="6" t="str">
        <v>2026-03-20</v>
      </c>
      <c r="W60" s="6" t="str">
        <v>Chattogram</v>
      </c>
      <c r="X60" s="6" t="str">
        <v>Cox's Bazar</v>
      </c>
      <c r="Y60" s="6" t="str">
        <v>Mobile Banking</v>
      </c>
      <c r="Z60" s="6" t="str">
        <v>bKash Agent Kit</v>
      </c>
      <c r="AA60" s="6" t="str">
        <v>Nusrat Jahan</v>
      </c>
      <c r="AB60" s="6">
        <v>147</v>
      </c>
      <c r="AC60" s="6">
        <v>3834</v>
      </c>
      <c r="AD60" s="6">
        <v>563598</v>
      </c>
      <c r="AE60" s="6" t="str">
        <v>Corporate</v>
      </c>
    </row>
    <row r="61" spans="1:31" x14ac:dyDescent="0.25">
      <c r="A61" s="6">
        <v>1158</v>
      </c>
      <c r="B61" s="6" t="str">
        <v>2026-03-21</v>
      </c>
      <c r="C61" s="6" t="str">
        <v>Rajshahi</v>
      </c>
      <c r="D61" s="6" t="str">
        <v>Bogura</v>
      </c>
      <c r="E61" s="6" t="str">
        <v>FMCG</v>
      </c>
      <c r="F61" s="6" t="str">
        <v>Square Toiletries</v>
      </c>
      <c r="G61" s="6" t="str">
        <v>Sumaiya Khan</v>
      </c>
      <c r="H61" s="6">
        <v>179</v>
      </c>
      <c r="I61" s="6">
        <v>4624.5600000000004</v>
      </c>
      <c r="J61" s="6">
        <v>827796.24000000011</v>
      </c>
      <c r="K61" s="6" t="str">
        <v>Corporate</v>
      </c>
      <c r="N61" s="6" t="str">
        <v>Sumaiya Khan</v>
      </c>
      <c r="U61" s="6">
        <v>1076</v>
      </c>
      <c r="V61" s="6" t="str">
        <v>2026-02-18</v>
      </c>
      <c r="W61" s="6" t="str">
        <v>Chattogram</v>
      </c>
      <c r="X61" s="6" t="str">
        <v>Cox's Bazar</v>
      </c>
      <c r="Y61" s="6" t="str">
        <v>RMG Supplies</v>
      </c>
      <c r="Z61" s="6" t="str">
        <v>Sewing Thread Box</v>
      </c>
      <c r="AA61" s="6" t="str">
        <v>Shahid Ahmed</v>
      </c>
      <c r="AB61" s="6">
        <v>157</v>
      </c>
      <c r="AC61" s="6">
        <v>3520.86</v>
      </c>
      <c r="AD61" s="6">
        <v>552775.02</v>
      </c>
      <c r="AE61" s="6" t="str">
        <v>Retail</v>
      </c>
    </row>
    <row r="62" spans="1:31" x14ac:dyDescent="0.25">
      <c r="A62" s="6">
        <v>1087</v>
      </c>
      <c r="B62" s="6" t="str">
        <v>2026-02-19</v>
      </c>
      <c r="C62" s="6" t="str">
        <v>Chattogram</v>
      </c>
      <c r="D62" s="6" t="str">
        <v>Cox's Bazar</v>
      </c>
      <c r="E62" s="6" t="str">
        <v>Retail Electronics</v>
      </c>
      <c r="F62" s="6" t="str">
        <v>Walton TV</v>
      </c>
      <c r="G62" s="6" t="str">
        <v>Shahid Ahmed</v>
      </c>
      <c r="H62" s="6">
        <v>155</v>
      </c>
      <c r="I62" s="6">
        <v>4950.6499999999996</v>
      </c>
      <c r="J62" s="6">
        <v>767350.75</v>
      </c>
      <c r="K62" s="6" t="str">
        <v>Corporate</v>
      </c>
      <c r="N62" s="6" t="str">
        <v>Shahid Ahmed</v>
      </c>
      <c r="U62" s="6">
        <v>1032</v>
      </c>
      <c r="V62" s="6" t="str">
        <v>2026-03-11</v>
      </c>
      <c r="W62" s="6" t="str">
        <v>Chattogram</v>
      </c>
      <c r="X62" s="6" t="str">
        <v>Chattogram</v>
      </c>
      <c r="Y62" s="6" t="str">
        <v>FMCG</v>
      </c>
      <c r="Z62" s="6" t="str">
        <v>ACI Soap Pack</v>
      </c>
      <c r="AA62" s="6" t="str">
        <v>Jahangir Alam</v>
      </c>
      <c r="AB62" s="6">
        <v>173</v>
      </c>
      <c r="AC62" s="6">
        <v>2939.18</v>
      </c>
      <c r="AD62" s="6">
        <v>508478.13999999996</v>
      </c>
      <c r="AE62" s="6" t="str">
        <v>Wholesale</v>
      </c>
    </row>
    <row r="63" spans="1:31" x14ac:dyDescent="0.25">
      <c r="A63" s="6">
        <v>1031</v>
      </c>
      <c r="B63" s="6" t="str">
        <v>2026-02-04</v>
      </c>
      <c r="C63" s="6" t="str">
        <v>Sylhet</v>
      </c>
      <c r="D63" s="6" t="str">
        <v>Sylhet</v>
      </c>
      <c r="E63" s="6" t="str">
        <v>Telecom</v>
      </c>
      <c r="F63" s="6" t="str">
        <v>Grameenphone SIM</v>
      </c>
      <c r="G63" s="6" t="str">
        <v>Nusrat Jahan</v>
      </c>
      <c r="H63" s="6">
        <v>177</v>
      </c>
      <c r="I63" s="6">
        <v>4316.01</v>
      </c>
      <c r="J63" s="6">
        <v>763933.77</v>
      </c>
      <c r="K63" s="6" t="str">
        <v>Corporate</v>
      </c>
      <c r="N63" s="6" t="str">
        <v>Nusrat Jahan</v>
      </c>
      <c r="U63" s="6">
        <v>1102</v>
      </c>
      <c r="V63" s="6" t="str">
        <v>2026-02-08</v>
      </c>
      <c r="W63" s="6" t="str">
        <v>Chattogram</v>
      </c>
      <c r="X63" s="6" t="str">
        <v>Cox's Bazar</v>
      </c>
      <c r="Y63" s="6" t="str">
        <v>RMG Supplies</v>
      </c>
      <c r="Z63" s="6" t="str">
        <v>Garment Labels</v>
      </c>
      <c r="AA63" s="6" t="str">
        <v>Shahid Ahmed</v>
      </c>
      <c r="AB63" s="6">
        <v>111</v>
      </c>
      <c r="AC63" s="6">
        <v>4181.88</v>
      </c>
      <c r="AD63" s="6">
        <v>464188.68</v>
      </c>
      <c r="AE63" s="6" t="str">
        <v>Wholesale</v>
      </c>
    </row>
    <row r="64" spans="1:31" x14ac:dyDescent="0.25">
      <c r="A64" s="6">
        <v>1178</v>
      </c>
      <c r="B64" s="6" t="str">
        <v>2026-03-16</v>
      </c>
      <c r="C64" s="6" t="str">
        <v>Chattogram</v>
      </c>
      <c r="D64" s="6" t="str">
        <v>Chattogram</v>
      </c>
      <c r="E64" s="6" t="str">
        <v>Mobile Banking</v>
      </c>
      <c r="F64" s="6" t="str">
        <v>Nagad POS Device</v>
      </c>
      <c r="G64" s="6" t="str">
        <v>Sumaiya Khan</v>
      </c>
      <c r="H64" s="6">
        <v>183</v>
      </c>
      <c r="I64" s="6">
        <v>4164</v>
      </c>
      <c r="J64" s="6">
        <v>762012</v>
      </c>
      <c r="K64" s="6" t="str">
        <v>Wholesale</v>
      </c>
      <c r="N64" s="6" t="str">
        <v>Sumaiya Khan</v>
      </c>
      <c r="U64" s="6">
        <v>1125</v>
      </c>
      <c r="V64" s="6" t="str">
        <v>2026-01-02</v>
      </c>
      <c r="W64" s="6" t="str">
        <v>Chattogram</v>
      </c>
      <c r="X64" s="6" t="str">
        <v>Chattogram</v>
      </c>
      <c r="Y64" s="6" t="str">
        <v>Retail Electronics</v>
      </c>
      <c r="Z64" s="6" t="str">
        <v>Singer Blender</v>
      </c>
      <c r="AA64" s="6" t="str">
        <v>Shahid Ahmed</v>
      </c>
      <c r="AB64" s="6">
        <v>171</v>
      </c>
      <c r="AC64" s="6">
        <v>2071.06</v>
      </c>
      <c r="AD64" s="6">
        <v>354151.26</v>
      </c>
      <c r="AE64" s="6" t="str">
        <v>Retail</v>
      </c>
    </row>
    <row r="65" spans="1:31" x14ac:dyDescent="0.25">
      <c r="A65" s="6">
        <v>1098</v>
      </c>
      <c r="B65" s="6" t="str">
        <v>2026-02-14</v>
      </c>
      <c r="C65" s="6" t="str">
        <v>Khulna</v>
      </c>
      <c r="D65" s="6" t="str">
        <v>Jessore</v>
      </c>
      <c r="E65" s="6" t="str">
        <v>Mobile Banking</v>
      </c>
      <c r="F65" s="6" t="str">
        <v>Nagad POS Device</v>
      </c>
      <c r="G65" s="6" t="str">
        <v>Rafiq Islam</v>
      </c>
      <c r="H65" s="6">
        <v>173</v>
      </c>
      <c r="I65" s="6">
        <v>4353.37</v>
      </c>
      <c r="J65" s="6">
        <v>753133.01</v>
      </c>
      <c r="K65" s="6" t="str">
        <v>Retail</v>
      </c>
      <c r="N65" s="6" t="str">
        <v>Rafiq Islam</v>
      </c>
      <c r="U65" s="6">
        <v>1054</v>
      </c>
      <c r="V65" s="6" t="str">
        <v>2026-03-28</v>
      </c>
      <c r="W65" s="6" t="str">
        <v>Chattogram</v>
      </c>
      <c r="X65" s="6" t="str">
        <v>Chattogram</v>
      </c>
      <c r="Y65" s="6" t="str">
        <v>Telecom</v>
      </c>
      <c r="Z65" s="6" t="str">
        <v>Grameenphone SIM</v>
      </c>
      <c r="AA65" s="6" t="str">
        <v>Rafiq Islam</v>
      </c>
      <c r="AB65" s="6">
        <v>67</v>
      </c>
      <c r="AC65" s="6">
        <v>4920.4799999999996</v>
      </c>
      <c r="AD65" s="6">
        <v>329672.15999999997</v>
      </c>
      <c r="AE65" s="6" t="str">
        <v>Retail</v>
      </c>
    </row>
    <row r="66" spans="1:31" x14ac:dyDescent="0.25">
      <c r="A66" s="6">
        <v>1094</v>
      </c>
      <c r="B66" s="6" t="str">
        <v>2026-03-19</v>
      </c>
      <c r="C66" s="6" t="str">
        <v>Khulna</v>
      </c>
      <c r="D66" s="6" t="str">
        <v>Jessore</v>
      </c>
      <c r="E66" s="6" t="str">
        <v>Mobile Banking</v>
      </c>
      <c r="F66" s="6" t="str">
        <v>bKash Agent Kit</v>
      </c>
      <c r="G66" s="6" t="str">
        <v>Farzana Akter</v>
      </c>
      <c r="H66" s="6">
        <v>177</v>
      </c>
      <c r="I66" s="6">
        <v>4188</v>
      </c>
      <c r="J66" s="6">
        <v>741276</v>
      </c>
      <c r="K66" s="6" t="str">
        <v>Retail</v>
      </c>
      <c r="N66" s="6" t="str">
        <v>Farzana Akter</v>
      </c>
      <c r="U66" s="6">
        <v>1037</v>
      </c>
      <c r="V66" s="6" t="str">
        <v>2026-03-21</v>
      </c>
      <c r="W66" s="6" t="str">
        <v>Chattogram</v>
      </c>
      <c r="X66" s="6" t="str">
        <v>Cox's Bazar</v>
      </c>
      <c r="Y66" s="6" t="str">
        <v>RMG Supplies</v>
      </c>
      <c r="Z66" s="6" t="str">
        <v>Garment Labels</v>
      </c>
      <c r="AA66" s="6" t="str">
        <v>Farzana Akter</v>
      </c>
      <c r="AB66" s="6">
        <v>188</v>
      </c>
      <c r="AC66" s="6">
        <v>1747.26</v>
      </c>
      <c r="AD66" s="6">
        <v>328484.88</v>
      </c>
      <c r="AE66" s="6" t="str">
        <v>Wholesale</v>
      </c>
    </row>
    <row r="67" spans="1:31" x14ac:dyDescent="0.25">
      <c r="A67" s="6">
        <v>1010</v>
      </c>
      <c r="B67" s="6" t="str">
        <v>2026-02-07</v>
      </c>
      <c r="C67" s="6" t="str">
        <v>Khulna</v>
      </c>
      <c r="D67" s="6" t="str">
        <v>Jessore</v>
      </c>
      <c r="E67" s="6" t="str">
        <v>RMG Supplies</v>
      </c>
      <c r="F67" s="6" t="str">
        <v>Cotton Fabric Roll</v>
      </c>
      <c r="G67" s="6" t="str">
        <v>Farzana Akter</v>
      </c>
      <c r="H67" s="6">
        <v>150</v>
      </c>
      <c r="I67" s="6">
        <v>4388.0200000000004</v>
      </c>
      <c r="J67" s="6">
        <v>658203.00000000012</v>
      </c>
      <c r="K67" s="6" t="str">
        <v>Corporate</v>
      </c>
      <c r="N67" s="6" t="str">
        <v>Farzana Akter</v>
      </c>
      <c r="U67" s="6">
        <v>1009</v>
      </c>
      <c r="V67" s="6" t="str">
        <v>2026-01-08</v>
      </c>
      <c r="W67" s="6" t="str">
        <v>Chattogram</v>
      </c>
      <c r="X67" s="6" t="str">
        <v>Cox's Bazar</v>
      </c>
      <c r="Y67" s="6" t="str">
        <v>Retail Electronics</v>
      </c>
      <c r="Z67" s="6" t="str">
        <v>Walton TV</v>
      </c>
      <c r="AA67" s="6" t="str">
        <v>Farzana Akter</v>
      </c>
      <c r="AB67" s="6">
        <v>180</v>
      </c>
      <c r="AC67" s="6">
        <v>1655.2</v>
      </c>
      <c r="AD67" s="6">
        <v>297936</v>
      </c>
      <c r="AE67" s="6" t="str">
        <v>Retail</v>
      </c>
    </row>
    <row r="68" spans="1:31" x14ac:dyDescent="0.25">
      <c r="A68" s="6">
        <v>1073</v>
      </c>
      <c r="B68" s="6" t="str">
        <v>2026-03-25</v>
      </c>
      <c r="C68" s="6" t="str">
        <v>Chattogram</v>
      </c>
      <c r="D68" s="6" t="str">
        <v>Cox's Bazar</v>
      </c>
      <c r="E68" s="6" t="str">
        <v>Telecom</v>
      </c>
      <c r="F68" s="6" t="str">
        <v>Banglalink Bundle</v>
      </c>
      <c r="G68" s="6" t="str">
        <v>Shahid Ahmed</v>
      </c>
      <c r="H68" s="6">
        <v>162</v>
      </c>
      <c r="I68" s="6">
        <v>4050.59</v>
      </c>
      <c r="J68" s="6">
        <v>656195.58000000007</v>
      </c>
      <c r="K68" s="6" t="str">
        <v>Wholesale</v>
      </c>
      <c r="N68" s="6" t="str">
        <v>Shahid Ahmed</v>
      </c>
      <c r="U68" s="6">
        <v>1026</v>
      </c>
      <c r="V68" s="6" t="str">
        <v>2026-01-15</v>
      </c>
      <c r="W68" s="6" t="str">
        <v>Chattogram</v>
      </c>
      <c r="X68" s="6" t="str">
        <v>Cox's Bazar</v>
      </c>
      <c r="Y68" s="6" t="str">
        <v>Telecom</v>
      </c>
      <c r="Z68" s="6" t="str">
        <v>Robi Internet Pack</v>
      </c>
      <c r="AA68" s="6" t="str">
        <v>Sumaiya Khan</v>
      </c>
      <c r="AB68" s="6">
        <v>68</v>
      </c>
      <c r="AC68" s="6">
        <v>4378.71</v>
      </c>
      <c r="AD68" s="6">
        <v>297752.28000000003</v>
      </c>
      <c r="AE68" s="6" t="str">
        <v>Corporate</v>
      </c>
    </row>
    <row r="69" spans="1:31" x14ac:dyDescent="0.25">
      <c r="A69" s="6">
        <v>1014</v>
      </c>
      <c r="B69" s="6" t="str">
        <v>2026-03-18</v>
      </c>
      <c r="C69" s="6" t="str">
        <v>Sylhet</v>
      </c>
      <c r="D69" s="6" t="str">
        <v>Sylhet</v>
      </c>
      <c r="E69" s="6" t="str">
        <v>FMCG</v>
      </c>
      <c r="F69" s="6" t="str">
        <v>Pran Juice Carton</v>
      </c>
      <c r="G69" s="6" t="str">
        <v>Rafiq Islam</v>
      </c>
      <c r="H69" s="6">
        <v>179</v>
      </c>
      <c r="I69" s="6">
        <v>3617.57</v>
      </c>
      <c r="J69" s="6">
        <v>647545.03</v>
      </c>
      <c r="K69" s="6" t="str">
        <v>Wholesale</v>
      </c>
      <c r="N69" s="6" t="str">
        <v>Rafiq Islam</v>
      </c>
      <c r="U69" s="6">
        <v>1052</v>
      </c>
      <c r="V69" s="6" t="str">
        <v>2026-03-07</v>
      </c>
      <c r="W69" s="6" t="str">
        <v>Chattogram</v>
      </c>
      <c r="X69" s="6" t="str">
        <v>Cox's Bazar</v>
      </c>
      <c r="Y69" s="6" t="str">
        <v>FMCG</v>
      </c>
      <c r="Z69" s="6" t="str">
        <v>Square Toiletries</v>
      </c>
      <c r="AA69" s="6" t="str">
        <v>Mitu Rahman</v>
      </c>
      <c r="AB69" s="6">
        <v>124</v>
      </c>
      <c r="AC69" s="6">
        <v>2236.84</v>
      </c>
      <c r="AD69" s="6">
        <v>277368.16000000003</v>
      </c>
      <c r="AE69" s="6" t="str">
        <v>Corporate</v>
      </c>
    </row>
    <row r="70" spans="1:31" x14ac:dyDescent="0.25">
      <c r="A70" s="6">
        <v>1107</v>
      </c>
      <c r="B70" s="6" t="str">
        <v>2026-02-28</v>
      </c>
      <c r="C70" s="6" t="str">
        <v>Rajshahi</v>
      </c>
      <c r="D70" s="6" t="str">
        <v>Rajshahi</v>
      </c>
      <c r="E70" s="6" t="str">
        <v>Retail Electronics</v>
      </c>
      <c r="F70" s="6" t="str">
        <v>Walton Fridge</v>
      </c>
      <c r="G70" s="6" t="str">
        <v>Kamal Hossain</v>
      </c>
      <c r="H70" s="6">
        <v>133</v>
      </c>
      <c r="I70" s="6">
        <v>4828.5</v>
      </c>
      <c r="J70" s="6">
        <v>642190.5</v>
      </c>
      <c r="K70" s="6" t="str">
        <v>Retail</v>
      </c>
      <c r="N70" s="6" t="str">
        <v>Kamal Hossain</v>
      </c>
      <c r="U70" s="6">
        <v>1023</v>
      </c>
      <c r="V70" s="6" t="str">
        <v>2026-02-07</v>
      </c>
      <c r="W70" s="6" t="str">
        <v>Chattogram</v>
      </c>
      <c r="X70" s="6" t="str">
        <v>Chattogram</v>
      </c>
      <c r="Y70" s="6" t="str">
        <v>FMCG</v>
      </c>
      <c r="Z70" s="6" t="str">
        <v>Square Toiletries</v>
      </c>
      <c r="AA70" s="6" t="str">
        <v>Sumaiya Khan</v>
      </c>
      <c r="AB70" s="6">
        <v>67</v>
      </c>
      <c r="AC70" s="6">
        <v>3933.87</v>
      </c>
      <c r="AD70" s="6">
        <v>263569.28999999998</v>
      </c>
      <c r="AE70" s="6" t="str">
        <v>Retail</v>
      </c>
    </row>
    <row r="71" spans="1:31" x14ac:dyDescent="0.25">
      <c r="A71" s="6">
        <v>1111</v>
      </c>
      <c r="B71" s="6" t="str">
        <v>2026-01-15</v>
      </c>
      <c r="C71" s="6" t="str">
        <v>Khulna</v>
      </c>
      <c r="D71" s="6" t="str">
        <v>Khulna</v>
      </c>
      <c r="E71" s="6" t="str">
        <v>Mobile Banking</v>
      </c>
      <c r="F71" s="6" t="str">
        <v>Nagad POS Device</v>
      </c>
      <c r="G71" s="6" t="str">
        <v>Nusrat Jahan</v>
      </c>
      <c r="H71" s="6">
        <v>199</v>
      </c>
      <c r="I71" s="6">
        <v>3187.05</v>
      </c>
      <c r="J71" s="6">
        <v>634222.95000000007</v>
      </c>
      <c r="K71" s="6" t="str">
        <v>Retail</v>
      </c>
      <c r="N71" s="6" t="str">
        <v>Nusrat Jahan</v>
      </c>
      <c r="U71" s="6">
        <v>1049</v>
      </c>
      <c r="V71" s="6" t="str">
        <v>2026-01-24</v>
      </c>
      <c r="W71" s="6" t="str">
        <v>Chattogram</v>
      </c>
      <c r="X71" s="6" t="str">
        <v>Cox's Bazar</v>
      </c>
      <c r="Y71" s="6" t="str">
        <v>Retail Electronics</v>
      </c>
      <c r="Z71" s="6" t="str">
        <v>Walton Fridge</v>
      </c>
      <c r="AA71" s="6" t="str">
        <v>Mitu Rahman</v>
      </c>
      <c r="AB71" s="6">
        <v>164</v>
      </c>
      <c r="AC71" s="6">
        <v>1603.88</v>
      </c>
      <c r="AD71" s="6">
        <v>263036.32</v>
      </c>
      <c r="AE71" s="6" t="str">
        <v>Wholesale</v>
      </c>
    </row>
    <row r="72" spans="1:31" x14ac:dyDescent="0.25">
      <c r="A72" s="6">
        <v>1147</v>
      </c>
      <c r="B72" s="6" t="str">
        <v>2026-03-03</v>
      </c>
      <c r="C72" s="6" t="str">
        <v>Khulna</v>
      </c>
      <c r="D72" s="6" t="str">
        <v>Khulna</v>
      </c>
      <c r="E72" s="6" t="str">
        <v>Mobile Banking</v>
      </c>
      <c r="F72" s="6" t="str">
        <v>bKash Agent Kit</v>
      </c>
      <c r="G72" s="6" t="str">
        <v>Kamal Hossain</v>
      </c>
      <c r="H72" s="6">
        <v>198</v>
      </c>
      <c r="I72" s="6">
        <v>3108.3</v>
      </c>
      <c r="J72" s="6">
        <v>615443.4</v>
      </c>
      <c r="K72" s="6" t="str">
        <v>Wholesale</v>
      </c>
      <c r="N72" s="6" t="str">
        <v>Kamal Hossain</v>
      </c>
      <c r="U72" s="6">
        <v>1019</v>
      </c>
      <c r="V72" s="6" t="str">
        <v>2026-03-14</v>
      </c>
      <c r="W72" s="6" t="str">
        <v>Chattogram</v>
      </c>
      <c r="X72" s="6" t="str">
        <v>Chattogram</v>
      </c>
      <c r="Y72" s="6" t="str">
        <v>Retail Electronics</v>
      </c>
      <c r="Z72" s="6" t="str">
        <v>Singer Blender</v>
      </c>
      <c r="AA72" s="6" t="str">
        <v>Kamal Hossain</v>
      </c>
      <c r="AB72" s="6">
        <v>72</v>
      </c>
      <c r="AC72" s="6">
        <v>2661.99</v>
      </c>
      <c r="AD72" s="6">
        <v>191663.27999999997</v>
      </c>
      <c r="AE72" s="6" t="str">
        <v>Retail</v>
      </c>
    </row>
    <row r="73" spans="1:31" x14ac:dyDescent="0.25">
      <c r="A73" s="6">
        <v>1105</v>
      </c>
      <c r="B73" s="6" t="str">
        <v>2026-01-23</v>
      </c>
      <c r="C73" s="6" t="str">
        <v>Rajshahi</v>
      </c>
      <c r="D73" s="6" t="str">
        <v>Bogura</v>
      </c>
      <c r="E73" s="6" t="str">
        <v>RMG Supplies</v>
      </c>
      <c r="F73" s="6" t="str">
        <v>Sewing Thread Box</v>
      </c>
      <c r="G73" s="6" t="str">
        <v>Jahangir Alam</v>
      </c>
      <c r="H73" s="6">
        <v>121</v>
      </c>
      <c r="I73" s="6">
        <v>4667.62</v>
      </c>
      <c r="J73" s="6">
        <v>564782.02</v>
      </c>
      <c r="K73" s="6" t="str">
        <v>Retail</v>
      </c>
      <c r="N73" s="6" t="str">
        <v>Jahangir Alam</v>
      </c>
      <c r="U73" s="6">
        <v>1021</v>
      </c>
      <c r="V73" s="6" t="str">
        <v>2026-01-23</v>
      </c>
      <c r="W73" s="6" t="str">
        <v>Chattogram</v>
      </c>
      <c r="X73" s="6" t="str">
        <v>Chattogram</v>
      </c>
      <c r="Y73" s="6" t="str">
        <v>RMG Supplies</v>
      </c>
      <c r="Z73" s="6" t="str">
        <v>Cotton Fabric Roll</v>
      </c>
      <c r="AA73" s="6" t="str">
        <v>Farzana Akter</v>
      </c>
      <c r="AB73" s="6">
        <v>155</v>
      </c>
      <c r="AC73" s="6">
        <v>1140.08</v>
      </c>
      <c r="AD73" s="6">
        <v>176712.4</v>
      </c>
      <c r="AE73" s="6" t="str">
        <v>Corporate</v>
      </c>
    </row>
    <row r="74" spans="1:31" x14ac:dyDescent="0.25">
      <c r="A74" s="6">
        <v>1086</v>
      </c>
      <c r="B74" s="6" t="str">
        <v>2026-03-20</v>
      </c>
      <c r="C74" s="6" t="str">
        <v>Chattogram</v>
      </c>
      <c r="D74" s="6" t="str">
        <v>Cox's Bazar</v>
      </c>
      <c r="E74" s="6" t="str">
        <v>Mobile Banking</v>
      </c>
      <c r="F74" s="6" t="str">
        <v>bKash Agent Kit</v>
      </c>
      <c r="G74" s="6" t="str">
        <v>Nusrat Jahan</v>
      </c>
      <c r="H74" s="6">
        <v>147</v>
      </c>
      <c r="I74" s="6">
        <v>3834</v>
      </c>
      <c r="J74" s="6">
        <v>563598</v>
      </c>
      <c r="K74" s="6" t="str">
        <v>Corporate</v>
      </c>
      <c r="N74" s="6" t="str">
        <v>Nusrat Jahan</v>
      </c>
      <c r="U74" s="6">
        <v>1157</v>
      </c>
      <c r="V74" s="6" t="str">
        <v>2026-03-03</v>
      </c>
      <c r="W74" s="6" t="str">
        <v>Chattogram</v>
      </c>
      <c r="X74" s="6" t="str">
        <v>Chattogram</v>
      </c>
      <c r="Y74" s="6" t="str">
        <v>Telecom</v>
      </c>
      <c r="Z74" s="6" t="str">
        <v>Robi Internet Pack</v>
      </c>
      <c r="AA74" s="6" t="str">
        <v>Farzana Akter</v>
      </c>
      <c r="AB74" s="6">
        <v>49</v>
      </c>
      <c r="AC74" s="6">
        <v>3031.87</v>
      </c>
      <c r="AD74" s="6">
        <v>148561.63</v>
      </c>
      <c r="AE74" s="6" t="str">
        <v>Retail</v>
      </c>
    </row>
    <row r="75" spans="1:31" x14ac:dyDescent="0.25">
      <c r="A75" s="6">
        <v>1079</v>
      </c>
      <c r="B75" s="6" t="str">
        <v>2026-03-11</v>
      </c>
      <c r="C75" s="6" t="str">
        <v>Sylhet</v>
      </c>
      <c r="D75" s="6" t="str">
        <v>Sylhet</v>
      </c>
      <c r="E75" s="6" t="str">
        <v>Retail Electronics</v>
      </c>
      <c r="F75" s="6" t="str">
        <v>Singer Blender</v>
      </c>
      <c r="G75" s="6" t="str">
        <v>Mitu Rahman</v>
      </c>
      <c r="H75" s="6">
        <v>113</v>
      </c>
      <c r="I75" s="6">
        <v>4983.33</v>
      </c>
      <c r="J75" s="6">
        <v>563116.29</v>
      </c>
      <c r="K75" s="6" t="str">
        <v>Wholesale</v>
      </c>
      <c r="N75" s="6" t="str">
        <v>Mitu Rahman</v>
      </c>
      <c r="U75" s="6">
        <v>1130</v>
      </c>
      <c r="V75" s="6" t="str">
        <v>2026-01-03</v>
      </c>
      <c r="W75" s="6" t="str">
        <v>Chattogram</v>
      </c>
      <c r="X75" s="6" t="str">
        <v>Chattogram</v>
      </c>
      <c r="Y75" s="6" t="str">
        <v>Mobile Banking</v>
      </c>
      <c r="Z75" s="6" t="str">
        <v>Nagad POS Device</v>
      </c>
      <c r="AA75" s="6" t="str">
        <v>Farzana Akter</v>
      </c>
      <c r="AB75" s="6">
        <v>37</v>
      </c>
      <c r="AC75" s="6">
        <v>3945.54</v>
      </c>
      <c r="AD75" s="6">
        <v>145984.98000000001</v>
      </c>
      <c r="AE75" s="6" t="str">
        <v>Corporate</v>
      </c>
    </row>
    <row r="76" spans="1:31" x14ac:dyDescent="0.25">
      <c r="A76" s="6">
        <v>1128</v>
      </c>
      <c r="B76" s="6" t="str">
        <v>2026-02-04</v>
      </c>
      <c r="C76" s="6" t="str">
        <v>Khulna</v>
      </c>
      <c r="D76" s="6" t="str">
        <v>Khulna</v>
      </c>
      <c r="E76" s="6" t="str">
        <v>RMG Supplies</v>
      </c>
      <c r="F76" s="6" t="str">
        <v>Cotton Fabric Roll</v>
      </c>
      <c r="G76" s="6" t="str">
        <v>Sumaiya Khan</v>
      </c>
      <c r="H76" s="6">
        <v>118</v>
      </c>
      <c r="I76" s="6">
        <v>4755.25</v>
      </c>
      <c r="J76" s="6">
        <v>561119.5</v>
      </c>
      <c r="K76" s="6" t="str">
        <v>Corporate</v>
      </c>
      <c r="N76" s="6" t="str">
        <v>Sumaiya Khan</v>
      </c>
      <c r="U76" s="6">
        <v>1045</v>
      </c>
      <c r="V76" s="6" t="str">
        <v>2026-03-13</v>
      </c>
      <c r="W76" s="6" t="str">
        <v>Chattogram</v>
      </c>
      <c r="X76" s="6" t="str">
        <v>Cox's Bazar</v>
      </c>
      <c r="Y76" s="6" t="str">
        <v>RMG Supplies</v>
      </c>
      <c r="Z76" s="6" t="str">
        <v>Sewing Thread Box</v>
      </c>
      <c r="AA76" s="6" t="str">
        <v>Nusrat Jahan</v>
      </c>
      <c r="AB76" s="6">
        <v>76</v>
      </c>
      <c r="AC76" s="6">
        <v>1788.17</v>
      </c>
      <c r="AD76" s="6">
        <v>135900.92000000001</v>
      </c>
      <c r="AE76" s="6" t="str">
        <v>Corporate</v>
      </c>
    </row>
    <row r="77" spans="1:31" x14ac:dyDescent="0.25">
      <c r="A77" s="6">
        <v>1076</v>
      </c>
      <c r="B77" s="6" t="str">
        <v>2026-02-18</v>
      </c>
      <c r="C77" s="6" t="str">
        <v>Chattogram</v>
      </c>
      <c r="D77" s="6" t="str">
        <v>Cox's Bazar</v>
      </c>
      <c r="E77" s="6" t="str">
        <v>RMG Supplies</v>
      </c>
      <c r="F77" s="6" t="str">
        <v>Sewing Thread Box</v>
      </c>
      <c r="G77" s="6" t="str">
        <v>Shahid Ahmed</v>
      </c>
      <c r="H77" s="6">
        <v>157</v>
      </c>
      <c r="I77" s="6">
        <v>3520.86</v>
      </c>
      <c r="J77" s="6">
        <v>552775.02</v>
      </c>
      <c r="K77" s="6" t="str">
        <v>Retail</v>
      </c>
      <c r="N77" s="6" t="str">
        <v>Shahid Ahmed</v>
      </c>
      <c r="U77" s="6">
        <v>1033</v>
      </c>
      <c r="V77" s="6" t="str">
        <v>2026-02-15</v>
      </c>
      <c r="W77" s="6" t="str">
        <v>Chattogram</v>
      </c>
      <c r="X77" s="6" t="str">
        <v>Cox's Bazar</v>
      </c>
      <c r="Y77" s="6" t="str">
        <v>Telecom</v>
      </c>
      <c r="Z77" s="6" t="str">
        <v>Robi Internet Pack</v>
      </c>
      <c r="AA77" s="6" t="str">
        <v>Jahangir Alam</v>
      </c>
      <c r="AB77" s="6">
        <v>38</v>
      </c>
      <c r="AC77" s="6">
        <v>3374.87</v>
      </c>
      <c r="AD77" s="6">
        <v>128245.06</v>
      </c>
      <c r="AE77" s="6" t="str">
        <v>Wholesale</v>
      </c>
    </row>
    <row r="78" spans="1:31" x14ac:dyDescent="0.25">
      <c r="A78" s="6">
        <v>1072</v>
      </c>
      <c r="B78" s="6" t="str">
        <v>2026-03-27</v>
      </c>
      <c r="C78" s="6" t="str">
        <v>Khulna</v>
      </c>
      <c r="D78" s="6" t="str">
        <v>Khulna</v>
      </c>
      <c r="E78" s="6" t="str">
        <v>Retail Electronics</v>
      </c>
      <c r="F78" s="6" t="str">
        <v>Walton TV</v>
      </c>
      <c r="G78" s="6" t="str">
        <v>Nusrat Jahan</v>
      </c>
      <c r="H78" s="6">
        <v>115</v>
      </c>
      <c r="I78" s="6">
        <v>4805.8999999999996</v>
      </c>
      <c r="J78" s="6">
        <v>552678.5</v>
      </c>
      <c r="K78" s="6" t="str">
        <v>Wholesale</v>
      </c>
      <c r="N78" s="6" t="str">
        <v>Nusrat Jahan</v>
      </c>
      <c r="U78" s="6">
        <v>1141</v>
      </c>
      <c r="V78" s="6" t="str">
        <v>2026-02-28</v>
      </c>
      <c r="W78" s="6" t="str">
        <v>Chattogram</v>
      </c>
      <c r="X78" s="6" t="str">
        <v>Chattogram</v>
      </c>
      <c r="Y78" s="6" t="str">
        <v>FMCG</v>
      </c>
      <c r="Z78" s="6" t="str">
        <v>Square Toiletries</v>
      </c>
      <c r="AA78" s="6" t="str">
        <v>Mitu Rahman</v>
      </c>
      <c r="AB78" s="6">
        <v>176</v>
      </c>
      <c r="AC78" s="6">
        <v>655.04</v>
      </c>
      <c r="AD78" s="6">
        <v>115287.03999999999</v>
      </c>
      <c r="AE78" s="6" t="str">
        <v>Corporate</v>
      </c>
    </row>
    <row r="79" spans="1:31" x14ac:dyDescent="0.25">
      <c r="A79" s="6">
        <v>1097</v>
      </c>
      <c r="B79" s="6" t="str">
        <v>2026-02-03</v>
      </c>
      <c r="C79" s="6" t="str">
        <v>Khulna</v>
      </c>
      <c r="D79" s="6" t="str">
        <v>Jessore</v>
      </c>
      <c r="E79" s="6" t="str">
        <v>Retail Electronics</v>
      </c>
      <c r="F79" s="6" t="str">
        <v>Walton TV</v>
      </c>
      <c r="G79" s="6" t="str">
        <v>Jahangir Alam</v>
      </c>
      <c r="H79" s="6">
        <v>199</v>
      </c>
      <c r="I79" s="6">
        <v>2772.98</v>
      </c>
      <c r="J79" s="6">
        <v>551823.02</v>
      </c>
      <c r="K79" s="6" t="str">
        <v>Wholesale</v>
      </c>
      <c r="N79" s="6" t="str">
        <v>Jahangir Alam</v>
      </c>
      <c r="U79" s="6">
        <v>1018</v>
      </c>
      <c r="V79" s="6" t="str">
        <v>2026-01-25</v>
      </c>
      <c r="W79" s="6" t="str">
        <v>Chattogram</v>
      </c>
      <c r="X79" s="6" t="str">
        <v>Chattogram</v>
      </c>
      <c r="Y79" s="6" t="str">
        <v>Telecom</v>
      </c>
      <c r="Z79" s="6" t="str">
        <v>Banglalink Bundle</v>
      </c>
      <c r="AA79" s="6" t="str">
        <v>Nusrat Jahan</v>
      </c>
      <c r="AB79" s="6">
        <v>26</v>
      </c>
      <c r="AC79" s="6">
        <v>3672.94</v>
      </c>
      <c r="AD79" s="6">
        <v>95496.44</v>
      </c>
      <c r="AE79" s="6" t="str">
        <v>Corporate</v>
      </c>
    </row>
    <row r="80" spans="1:31" x14ac:dyDescent="0.25">
      <c r="A80" s="6">
        <v>1175</v>
      </c>
      <c r="B80" s="6" t="str">
        <v>2026-01-27</v>
      </c>
      <c r="C80" s="6" t="str">
        <v>Dhaka</v>
      </c>
      <c r="D80" s="6" t="str">
        <v>Gazipur</v>
      </c>
      <c r="E80" s="6" t="str">
        <v>Mobile Banking</v>
      </c>
      <c r="F80" s="6" t="str">
        <v>bKash Agent Kit</v>
      </c>
      <c r="G80" s="6" t="str">
        <v>Shahid Ahmed</v>
      </c>
      <c r="H80" s="6">
        <v>120</v>
      </c>
      <c r="I80" s="6">
        <v>4531.2700000000004</v>
      </c>
      <c r="J80" s="6">
        <v>543752.4</v>
      </c>
      <c r="K80" s="6" t="str">
        <v>Wholesale</v>
      </c>
      <c r="N80" s="6" t="str">
        <v>Shahid Ahmed</v>
      </c>
      <c r="U80" s="6">
        <v>1119</v>
      </c>
      <c r="V80" s="6" t="str">
        <v>2026-03-21</v>
      </c>
      <c r="W80" s="6" t="str">
        <v>Chattogram</v>
      </c>
      <c r="X80" s="6" t="str">
        <v>Chattogram</v>
      </c>
      <c r="Y80" s="6" t="str">
        <v>FMCG</v>
      </c>
      <c r="Z80" s="6" t="str">
        <v>Pran Juice Carton</v>
      </c>
      <c r="AA80" s="6" t="str">
        <v>Kamal Hossain</v>
      </c>
      <c r="AB80" s="6">
        <v>165</v>
      </c>
      <c r="AC80" s="6">
        <v>530.96</v>
      </c>
      <c r="AD80" s="6">
        <v>87608.400000000009</v>
      </c>
      <c r="AE80" s="6" t="str">
        <v>Retail</v>
      </c>
    </row>
    <row r="81" spans="1:31" x14ac:dyDescent="0.25">
      <c r="A81" s="6">
        <v>1020</v>
      </c>
      <c r="B81" s="6" t="str">
        <v>2026-02-04</v>
      </c>
      <c r="C81" s="6" t="str">
        <v>Sylhet</v>
      </c>
      <c r="D81" s="6" t="str">
        <v>Sylhet</v>
      </c>
      <c r="E81" s="6" t="str">
        <v>RMG Supplies</v>
      </c>
      <c r="F81" s="6" t="str">
        <v>Sewing Thread Box</v>
      </c>
      <c r="G81" s="6" t="str">
        <v>Mitu Rahman</v>
      </c>
      <c r="H81" s="6">
        <v>117</v>
      </c>
      <c r="I81" s="6">
        <v>4503.09</v>
      </c>
      <c r="J81" s="6">
        <v>526861.53</v>
      </c>
      <c r="K81" s="6" t="str">
        <v>Retail</v>
      </c>
      <c r="N81" s="6" t="str">
        <v>Mitu Rahman</v>
      </c>
      <c r="U81" s="6">
        <v>1090</v>
      </c>
      <c r="V81" s="6" t="str">
        <v>2026-02-26</v>
      </c>
      <c r="W81" s="6" t="str">
        <v>Chattogram</v>
      </c>
      <c r="X81" s="6" t="str">
        <v>Cox's Bazar</v>
      </c>
      <c r="Y81" s="6" t="str">
        <v>RMG Supplies</v>
      </c>
      <c r="Z81" s="6" t="str">
        <v>Garment Labels</v>
      </c>
      <c r="AA81" s="6" t="str">
        <v>Sumaiya Khan</v>
      </c>
      <c r="AB81" s="6">
        <v>23</v>
      </c>
      <c r="AC81" s="6">
        <v>3452.56</v>
      </c>
      <c r="AD81" s="6">
        <v>79408.88</v>
      </c>
      <c r="AE81" s="6" t="str">
        <v>Corporate</v>
      </c>
    </row>
    <row r="82" spans="1:31" x14ac:dyDescent="0.25">
      <c r="A82" s="6">
        <v>1039</v>
      </c>
      <c r="B82" s="6" t="str">
        <v>2026-03-01</v>
      </c>
      <c r="C82" s="6" t="str">
        <v>Khulna</v>
      </c>
      <c r="D82" s="6" t="str">
        <v>Khulna</v>
      </c>
      <c r="E82" s="6" t="str">
        <v>RMG Supplies</v>
      </c>
      <c r="F82" s="6" t="str">
        <v>Cotton Fabric Roll</v>
      </c>
      <c r="G82" s="6" t="str">
        <v>Sumaiya Khan</v>
      </c>
      <c r="H82" s="6">
        <v>146</v>
      </c>
      <c r="I82" s="6">
        <v>3543.05</v>
      </c>
      <c r="J82" s="6">
        <v>517285.30000000005</v>
      </c>
      <c r="K82" s="6" t="str">
        <v>Retail</v>
      </c>
      <c r="N82" s="6" t="str">
        <v>Sumaiya Khan</v>
      </c>
      <c r="U82" s="6">
        <v>1140</v>
      </c>
      <c r="V82" s="6" t="str">
        <v>2026-03-24</v>
      </c>
      <c r="W82" s="6" t="str">
        <v>Chattogram</v>
      </c>
      <c r="X82" s="6" t="str">
        <v>Cox's Bazar</v>
      </c>
      <c r="Y82" s="6" t="str">
        <v>Mobile Banking</v>
      </c>
      <c r="Z82" s="6" t="str">
        <v>bKash Agent Kit</v>
      </c>
      <c r="AA82" s="6" t="str">
        <v>Nusrat Jahan</v>
      </c>
      <c r="AB82" s="6">
        <v>28</v>
      </c>
      <c r="AC82" s="6">
        <v>2187.79</v>
      </c>
      <c r="AD82" s="6">
        <v>61258.119999999995</v>
      </c>
      <c r="AE82" s="6" t="str">
        <v>Wholesale</v>
      </c>
    </row>
    <row r="83" spans="1:31" x14ac:dyDescent="0.25">
      <c r="A83" s="6">
        <v>1008</v>
      </c>
      <c r="B83" s="6" t="str">
        <v>2026-03-24</v>
      </c>
      <c r="C83" s="6" t="str">
        <v>Khulna</v>
      </c>
      <c r="D83" s="6" t="str">
        <v>Khulna</v>
      </c>
      <c r="E83" s="6" t="str">
        <v>RMG Supplies</v>
      </c>
      <c r="F83" s="6" t="str">
        <v>Garment Labels</v>
      </c>
      <c r="G83" s="6" t="str">
        <v>Nusrat Jahan</v>
      </c>
      <c r="H83" s="6">
        <v>160</v>
      </c>
      <c r="I83" s="6">
        <v>3193.14</v>
      </c>
      <c r="J83" s="6">
        <v>510902.39999999997</v>
      </c>
      <c r="K83" s="6" t="str">
        <v>Retail</v>
      </c>
      <c r="N83" s="6" t="str">
        <v>Nusrat Jahan</v>
      </c>
      <c r="U83" s="6">
        <v>1043</v>
      </c>
      <c r="V83" s="6" t="str">
        <v>2026-03-04</v>
      </c>
      <c r="W83" s="6" t="str">
        <v>Chattogram</v>
      </c>
      <c r="X83" s="6" t="str">
        <v>Cox's Bazar</v>
      </c>
      <c r="Y83" s="6" t="str">
        <v>Retail Electronics</v>
      </c>
      <c r="Z83" s="6" t="str">
        <v>Singer Blender</v>
      </c>
      <c r="AA83" s="6" t="str">
        <v>Farzana Akter</v>
      </c>
      <c r="AB83" s="6">
        <v>73</v>
      </c>
      <c r="AC83" s="6">
        <v>838.03</v>
      </c>
      <c r="AD83" s="6">
        <v>61176.189999999995</v>
      </c>
      <c r="AE83" s="6" t="str">
        <v>Wholesale</v>
      </c>
    </row>
    <row r="84" spans="1:31" x14ac:dyDescent="0.25">
      <c r="A84" s="6">
        <v>1100</v>
      </c>
      <c r="B84" s="6" t="str">
        <v>2026-01-23</v>
      </c>
      <c r="C84" s="6" t="str">
        <v>Khulna</v>
      </c>
      <c r="D84" s="6" t="str">
        <v>Jessore</v>
      </c>
      <c r="E84" s="6" t="str">
        <v>Retail Electronics</v>
      </c>
      <c r="F84" s="6" t="str">
        <v>Walton Fridge</v>
      </c>
      <c r="G84" s="6" t="str">
        <v>Rafiq Islam</v>
      </c>
      <c r="H84" s="6">
        <v>166</v>
      </c>
      <c r="I84" s="6">
        <v>3063.91</v>
      </c>
      <c r="J84" s="6">
        <v>508609.06</v>
      </c>
      <c r="K84" s="6" t="str">
        <v>Retail</v>
      </c>
      <c r="N84" s="6" t="str">
        <v>Rafiq Islam</v>
      </c>
      <c r="U84" s="6">
        <v>1099</v>
      </c>
      <c r="V84" s="6" t="str">
        <v>2026-02-18</v>
      </c>
      <c r="W84" s="6" t="str">
        <v>Chattogram</v>
      </c>
      <c r="X84" s="6" t="str">
        <v>Cox's Bazar</v>
      </c>
      <c r="Y84" s="6" t="str">
        <v>FMCG</v>
      </c>
      <c r="Z84" s="6" t="str">
        <v>Pran Juice Carton</v>
      </c>
      <c r="AA84" s="6" t="str">
        <v>Sumaiya Khan</v>
      </c>
      <c r="AB84" s="6">
        <v>199</v>
      </c>
      <c r="AC84" s="6">
        <v>305.48</v>
      </c>
      <c r="AD84" s="6">
        <v>60790.520000000004</v>
      </c>
      <c r="AE84" s="6" t="str">
        <v>Retail</v>
      </c>
    </row>
    <row r="85" spans="1:31" x14ac:dyDescent="0.25">
      <c r="A85" s="6">
        <v>1032</v>
      </c>
      <c r="B85" s="6" t="str">
        <v>2026-03-11</v>
      </c>
      <c r="C85" s="6" t="str">
        <v>Chattogram</v>
      </c>
      <c r="D85" s="6" t="str">
        <v>Chattogram</v>
      </c>
      <c r="E85" s="6" t="str">
        <v>FMCG</v>
      </c>
      <c r="F85" s="6" t="str">
        <v>ACI Soap Pack</v>
      </c>
      <c r="G85" s="6" t="str">
        <v>Jahangir Alam</v>
      </c>
      <c r="H85" s="6">
        <v>173</v>
      </c>
      <c r="I85" s="6">
        <v>2939.18</v>
      </c>
      <c r="J85" s="6">
        <v>508478.13999999996</v>
      </c>
      <c r="K85" s="6" t="str">
        <v>Wholesale</v>
      </c>
      <c r="N85" s="6" t="str">
        <v>Jahangir Alam</v>
      </c>
      <c r="U85" s="6">
        <v>1075</v>
      </c>
      <c r="V85" s="6" t="str">
        <v>2026-02-06</v>
      </c>
      <c r="W85" s="6" t="str">
        <v>Chattogram</v>
      </c>
      <c r="X85" s="6" t="str">
        <v>Cox's Bazar</v>
      </c>
      <c r="Y85" s="6" t="str">
        <v>FMCG</v>
      </c>
      <c r="Z85" s="6" t="str">
        <v>Square Toiletries</v>
      </c>
      <c r="AA85" s="6" t="str">
        <v>Jahangir Alam</v>
      </c>
      <c r="AB85" s="6">
        <v>91</v>
      </c>
      <c r="AC85" s="6">
        <v>192.06</v>
      </c>
      <c r="AD85" s="6">
        <v>17477.46</v>
      </c>
      <c r="AE85" s="6" t="str">
        <v>Wholesale</v>
      </c>
    </row>
    <row r="86" spans="1:31" x14ac:dyDescent="0.25">
      <c r="A86" s="6">
        <v>1145</v>
      </c>
      <c r="B86" s="6" t="str">
        <v>2026-01-05</v>
      </c>
      <c r="C86" s="6" t="str">
        <v>Khulna</v>
      </c>
      <c r="D86" s="6" t="str">
        <v>Jessore</v>
      </c>
      <c r="E86" s="6" t="str">
        <v>Mobile Banking</v>
      </c>
      <c r="F86" s="6" t="str">
        <v>bKash Agent Kit</v>
      </c>
      <c r="G86" s="6" t="str">
        <v>Kamal Hossain</v>
      </c>
      <c r="H86" s="6">
        <v>149</v>
      </c>
      <c r="I86" s="6">
        <v>3303.86</v>
      </c>
      <c r="J86" s="6">
        <v>492275.14</v>
      </c>
      <c r="K86" s="6" t="str">
        <v>Corporate</v>
      </c>
      <c r="N86" s="6" t="str">
        <v>Kamal Hossain</v>
      </c>
      <c r="U86" s="6">
        <v>1168</v>
      </c>
      <c r="V86" s="6" t="str">
        <v>2026-01-07</v>
      </c>
      <c r="W86" s="6" t="str">
        <v>Chattogram</v>
      </c>
      <c r="X86" s="6" t="str">
        <v>Chattogram</v>
      </c>
      <c r="Y86" s="6" t="str">
        <v>Retail Electronics</v>
      </c>
      <c r="Z86" s="6" t="str">
        <v>Singer Blender</v>
      </c>
      <c r="AA86" s="6" t="str">
        <v>Mitu Rahman</v>
      </c>
      <c r="AB86" s="6">
        <v>9</v>
      </c>
      <c r="AC86" s="6">
        <v>1844.86</v>
      </c>
      <c r="AD86" s="6">
        <v>16603.739999999998</v>
      </c>
      <c r="AE86" s="6" t="str">
        <v>Wholesale</v>
      </c>
    </row>
    <row r="87" spans="1:31" x14ac:dyDescent="0.25">
      <c r="A87" s="6">
        <v>1056</v>
      </c>
      <c r="B87" s="6" t="str">
        <v>2026-01-18</v>
      </c>
      <c r="C87" s="6" t="str">
        <v>Dhaka</v>
      </c>
      <c r="D87" s="6" t="str">
        <v>Dhaka</v>
      </c>
      <c r="E87" s="6" t="str">
        <v>Retail Electronics</v>
      </c>
      <c r="F87" s="6" t="str">
        <v>Walton Fridge</v>
      </c>
      <c r="G87" s="6" t="str">
        <v>Kamal Hossain</v>
      </c>
      <c r="H87" s="6">
        <v>183</v>
      </c>
      <c r="I87" s="6">
        <v>2613.89</v>
      </c>
      <c r="J87" s="6">
        <v>478341.87</v>
      </c>
      <c r="K87" s="6" t="str">
        <v>Retail</v>
      </c>
      <c r="N87" s="6" t="str">
        <v>Kamal Hossain</v>
      </c>
      <c r="U87" s="6">
        <v>1131</v>
      </c>
      <c r="V87" s="6" t="str">
        <v>2026-01-05</v>
      </c>
      <c r="W87" s="6" t="str">
        <v>Chattogram</v>
      </c>
      <c r="X87" s="6" t="str">
        <v>Chattogram</v>
      </c>
      <c r="Y87" s="6" t="str">
        <v>Telecom</v>
      </c>
      <c r="Z87" s="6" t="str">
        <v>Robi Internet Pack</v>
      </c>
      <c r="AA87" s="6" t="str">
        <v>Kamal Hossain</v>
      </c>
      <c r="AB87" s="6">
        <v>157</v>
      </c>
      <c r="AC87" s="6">
        <v>64.040000000000006</v>
      </c>
      <c r="AD87" s="6">
        <v>10054.280000000001</v>
      </c>
      <c r="AE87" s="6" t="str">
        <v>Corporate</v>
      </c>
    </row>
    <row r="88" spans="1:31" x14ac:dyDescent="0.25">
      <c r="A88" s="6">
        <v>1149</v>
      </c>
      <c r="B88" s="6" t="str">
        <v>2026-01-08</v>
      </c>
      <c r="C88" s="6" t="str">
        <v>Rajshahi</v>
      </c>
      <c r="D88" s="6" t="str">
        <v>Rajshahi</v>
      </c>
      <c r="E88" s="6" t="str">
        <v>RMG Supplies</v>
      </c>
      <c r="F88" s="6" t="str">
        <v>Garment Labels</v>
      </c>
      <c r="G88" s="6" t="str">
        <v>Sumaiya Khan</v>
      </c>
      <c r="H88" s="6">
        <v>139</v>
      </c>
      <c r="I88" s="6">
        <v>3352.31</v>
      </c>
      <c r="J88" s="6">
        <v>465971.08999999997</v>
      </c>
      <c r="K88" s="6" t="str">
        <v>Wholesale</v>
      </c>
      <c r="N88" s="6" t="str">
        <v>Sumaiya Khan</v>
      </c>
      <c r="U88" s="6">
        <v>1017</v>
      </c>
      <c r="V88" s="6" t="str">
        <v>2026-02-27</v>
      </c>
      <c r="W88" s="6" t="str">
        <v>Chattogram</v>
      </c>
      <c r="X88" s="6" t="str">
        <v>Chattogram</v>
      </c>
      <c r="Y88" s="6" t="str">
        <v>FMCG</v>
      </c>
      <c r="Z88" s="6" t="str">
        <v>Pran Juice Carton</v>
      </c>
      <c r="AA88" s="6" t="str">
        <v>Sumaiya Khan</v>
      </c>
      <c r="AB88" s="6">
        <v>9</v>
      </c>
      <c r="AC88" s="6">
        <v>603.75</v>
      </c>
      <c r="AD88" s="6">
        <v>5433.75</v>
      </c>
      <c r="AE88" s="6" t="str">
        <v>Wholesale</v>
      </c>
    </row>
    <row r="89" spans="1:31" x14ac:dyDescent="0.25">
      <c r="A89" s="6">
        <v>1102</v>
      </c>
      <c r="B89" s="6" t="str">
        <v>2026-02-08</v>
      </c>
      <c r="C89" s="6" t="str">
        <v>Chattogram</v>
      </c>
      <c r="D89" s="6" t="str">
        <v>Cox's Bazar</v>
      </c>
      <c r="E89" s="6" t="str">
        <v>RMG Supplies</v>
      </c>
      <c r="F89" s="6" t="str">
        <v>Garment Labels</v>
      </c>
      <c r="G89" s="6" t="str">
        <v>Shahid Ahmed</v>
      </c>
      <c r="H89" s="6">
        <v>111</v>
      </c>
      <c r="I89" s="6">
        <v>4181.88</v>
      </c>
      <c r="J89" s="6">
        <v>464188.68</v>
      </c>
      <c r="K89" s="6" t="str">
        <v>Wholesale</v>
      </c>
      <c r="N89" s="6" t="str">
        <v>Shahid Ahmed</v>
      </c>
    </row>
    <row r="90" spans="1:31" x14ac:dyDescent="0.25">
      <c r="A90" s="6">
        <v>1104</v>
      </c>
      <c r="B90" s="6" t="str">
        <v>2026-03-16</v>
      </c>
      <c r="C90" s="6" t="str">
        <v>Khulna</v>
      </c>
      <c r="D90" s="6" t="str">
        <v>Khulna</v>
      </c>
      <c r="E90" s="6" t="str">
        <v>RMG Supplies</v>
      </c>
      <c r="F90" s="6" t="str">
        <v>Garment Labels</v>
      </c>
      <c r="G90" s="6" t="str">
        <v>Shahid Ahmed</v>
      </c>
      <c r="H90" s="6">
        <v>155</v>
      </c>
      <c r="I90" s="6">
        <v>2920.62</v>
      </c>
      <c r="J90" s="6">
        <v>452696.1</v>
      </c>
      <c r="K90" s="6" t="str">
        <v>Retail</v>
      </c>
      <c r="N90" s="6" t="str">
        <v>Shahid Ahmed</v>
      </c>
    </row>
    <row r="91" spans="1:31" x14ac:dyDescent="0.25">
      <c r="A91" s="6">
        <v>1005</v>
      </c>
      <c r="B91" s="6" t="str">
        <v>2026-01-13</v>
      </c>
      <c r="C91" s="6" t="str">
        <v>Khulna</v>
      </c>
      <c r="D91" s="6" t="str">
        <v>Jessore</v>
      </c>
      <c r="E91" s="6" t="str">
        <v>FMCG</v>
      </c>
      <c r="F91" s="6" t="str">
        <v>Pran Juice Carton</v>
      </c>
      <c r="G91" s="6" t="str">
        <v>Rafiq Islam</v>
      </c>
      <c r="H91" s="6">
        <v>191</v>
      </c>
      <c r="I91" s="6">
        <v>2324.15</v>
      </c>
      <c r="J91" s="6">
        <v>443912.65</v>
      </c>
      <c r="K91" s="6" t="str">
        <v>Retail</v>
      </c>
      <c r="N91" s="6" t="str">
        <v>Rafiq Islam</v>
      </c>
    </row>
    <row r="92" spans="1:31" x14ac:dyDescent="0.25">
      <c r="A92" s="6">
        <v>1116</v>
      </c>
      <c r="B92" s="6" t="str">
        <v>2026-01-08</v>
      </c>
      <c r="C92" s="6" t="str">
        <v>Rajshahi</v>
      </c>
      <c r="D92" s="6" t="str">
        <v>Bogura</v>
      </c>
      <c r="E92" s="6" t="str">
        <v>Retail Electronics</v>
      </c>
      <c r="F92" s="6" t="str">
        <v>Walton TV</v>
      </c>
      <c r="G92" s="6" t="str">
        <v>Farzana Akter</v>
      </c>
      <c r="H92" s="6">
        <v>103</v>
      </c>
      <c r="I92" s="6">
        <v>4274.01</v>
      </c>
      <c r="J92" s="6">
        <v>440223.03</v>
      </c>
      <c r="K92" s="6" t="str">
        <v>Wholesale</v>
      </c>
      <c r="N92" s="6" t="str">
        <v>Farzana Akter</v>
      </c>
    </row>
    <row r="93" spans="1:31" x14ac:dyDescent="0.25">
      <c r="A93" s="6">
        <v>1016</v>
      </c>
      <c r="B93" s="6" t="str">
        <v>2026-01-05</v>
      </c>
      <c r="C93" s="6" t="str">
        <v>Sylhet</v>
      </c>
      <c r="D93" s="6" t="str">
        <v>Sylhet</v>
      </c>
      <c r="E93" s="6" t="str">
        <v>FMCG</v>
      </c>
      <c r="F93" s="6" t="str">
        <v>ACI Soap Pack</v>
      </c>
      <c r="G93" s="6" t="str">
        <v>Shahid Ahmed</v>
      </c>
      <c r="H93" s="6">
        <v>168</v>
      </c>
      <c r="I93" s="6">
        <v>2562.9299999999998</v>
      </c>
      <c r="J93" s="6">
        <v>430572.24</v>
      </c>
      <c r="K93" s="6" t="str">
        <v>Wholesale</v>
      </c>
      <c r="N93" s="6" t="str">
        <v>Shahid Ahmed</v>
      </c>
    </row>
    <row r="94" spans="1:31" x14ac:dyDescent="0.25">
      <c r="A94" s="6">
        <v>1089</v>
      </c>
      <c r="B94" s="6" t="str">
        <v>2026-02-10</v>
      </c>
      <c r="C94" s="6" t="str">
        <v>Sylhet</v>
      </c>
      <c r="D94" s="6" t="str">
        <v>Sylhet</v>
      </c>
      <c r="E94" s="6" t="str">
        <v>Telecom</v>
      </c>
      <c r="F94" s="6" t="str">
        <v>Grameenphone SIM</v>
      </c>
      <c r="G94" s="6" t="str">
        <v>Jahangir Alam</v>
      </c>
      <c r="H94" s="6">
        <v>120</v>
      </c>
      <c r="I94" s="6">
        <v>3462.39</v>
      </c>
      <c r="J94" s="6">
        <v>415486.8</v>
      </c>
      <c r="K94" s="6" t="str">
        <v>Retail</v>
      </c>
      <c r="N94" s="6" t="str">
        <v>Jahangir Alam</v>
      </c>
    </row>
    <row r="95" spans="1:31" x14ac:dyDescent="0.25">
      <c r="A95" s="6">
        <v>1133</v>
      </c>
      <c r="B95" s="6" t="str">
        <v>2026-01-24</v>
      </c>
      <c r="C95" s="6" t="str">
        <v>Dhaka</v>
      </c>
      <c r="D95" s="6" t="str">
        <v>Dhaka</v>
      </c>
      <c r="E95" s="6" t="str">
        <v>RMG Supplies</v>
      </c>
      <c r="F95" s="6" t="str">
        <v>Cotton Fabric Roll</v>
      </c>
      <c r="G95" s="6" t="str">
        <v>Kamal Hossain</v>
      </c>
      <c r="H95" s="6">
        <v>194</v>
      </c>
      <c r="I95" s="6">
        <v>2133.75</v>
      </c>
      <c r="J95" s="6">
        <v>413947.5</v>
      </c>
      <c r="K95" s="6" t="str">
        <v>Retail</v>
      </c>
      <c r="N95" s="6" t="str">
        <v>Kamal Hossain</v>
      </c>
    </row>
    <row r="96" spans="1:31" x14ac:dyDescent="0.25">
      <c r="A96" s="6">
        <v>1172</v>
      </c>
      <c r="B96" s="6" t="str">
        <v>2026-02-27</v>
      </c>
      <c r="C96" s="6" t="str">
        <v>Khulna</v>
      </c>
      <c r="D96" s="6" t="str">
        <v>Jessore</v>
      </c>
      <c r="E96" s="6" t="str">
        <v>Telecom</v>
      </c>
      <c r="F96" s="6" t="str">
        <v>Banglalink Bundle</v>
      </c>
      <c r="G96" s="6" t="str">
        <v>Farzana Akter</v>
      </c>
      <c r="H96" s="6">
        <v>84</v>
      </c>
      <c r="I96" s="6">
        <v>4829.7</v>
      </c>
      <c r="J96" s="6">
        <v>405694.8</v>
      </c>
      <c r="K96" s="6" t="str">
        <v>Retail</v>
      </c>
      <c r="N96" s="6" t="str">
        <v>Farzana Akter</v>
      </c>
    </row>
    <row r="97" spans="1:14" x14ac:dyDescent="0.25">
      <c r="A97" s="6">
        <v>1177</v>
      </c>
      <c r="B97" s="6" t="str">
        <v>2026-03-21</v>
      </c>
      <c r="C97" s="6" t="str">
        <v>Rajshahi</v>
      </c>
      <c r="D97" s="6" t="str">
        <v>Rajshahi</v>
      </c>
      <c r="E97" s="6" t="str">
        <v>RMG Supplies</v>
      </c>
      <c r="F97" s="6" t="str">
        <v>Cotton Fabric Roll</v>
      </c>
      <c r="G97" s="6" t="str">
        <v>Rafiq Islam</v>
      </c>
      <c r="H97" s="6">
        <v>86</v>
      </c>
      <c r="I97" s="6">
        <v>4657.59</v>
      </c>
      <c r="J97" s="6">
        <v>400552.74</v>
      </c>
      <c r="K97" s="6" t="str">
        <v>Wholesale</v>
      </c>
      <c r="N97" s="6" t="str">
        <v>Rafiq Islam</v>
      </c>
    </row>
    <row r="98" spans="1:14" x14ac:dyDescent="0.25">
      <c r="A98" s="6">
        <v>1007</v>
      </c>
      <c r="B98" s="6" t="str">
        <v>2026-02-06</v>
      </c>
      <c r="C98" s="6" t="str">
        <v>Dhaka</v>
      </c>
      <c r="D98" s="6" t="str">
        <v>Dhaka</v>
      </c>
      <c r="E98" s="6" t="str">
        <v>Mobile Banking</v>
      </c>
      <c r="F98" s="6" t="str">
        <v>Nagad POS Device</v>
      </c>
      <c r="G98" s="6" t="str">
        <v>Shahid Ahmed</v>
      </c>
      <c r="H98" s="6">
        <v>121</v>
      </c>
      <c r="I98" s="6">
        <v>3196.64</v>
      </c>
      <c r="J98" s="6">
        <v>386793.44</v>
      </c>
      <c r="K98" s="6" t="str">
        <v>Wholesale</v>
      </c>
      <c r="N98" s="6" t="str">
        <v>Shahid Ahmed</v>
      </c>
    </row>
    <row r="99" spans="1:14" x14ac:dyDescent="0.25">
      <c r="A99" s="6">
        <v>1013</v>
      </c>
      <c r="B99" s="6" t="str">
        <v>2026-01-13</v>
      </c>
      <c r="C99" s="6" t="str">
        <v>Dhaka</v>
      </c>
      <c r="D99" s="6" t="str">
        <v>Dhaka</v>
      </c>
      <c r="E99" s="6" t="str">
        <v>Mobile Banking</v>
      </c>
      <c r="F99" s="6" t="str">
        <v>bKash Agent Kit</v>
      </c>
      <c r="G99" s="6" t="str">
        <v>Kamal Hossain</v>
      </c>
      <c r="H99" s="6">
        <v>179</v>
      </c>
      <c r="I99" s="6">
        <v>2139.69</v>
      </c>
      <c r="J99" s="6">
        <v>383004.51</v>
      </c>
      <c r="K99" s="6" t="str">
        <v>Wholesale</v>
      </c>
      <c r="N99" s="6" t="str">
        <v>Kamal Hossain</v>
      </c>
    </row>
    <row r="100" spans="1:14" x14ac:dyDescent="0.25">
      <c r="A100" s="6">
        <v>1030</v>
      </c>
      <c r="B100" s="6" t="str">
        <v>2026-03-06</v>
      </c>
      <c r="C100" s="6" t="str">
        <v>Sylhet</v>
      </c>
      <c r="D100" s="6" t="str">
        <v>Sylhet</v>
      </c>
      <c r="E100" s="6" t="str">
        <v>RMG Supplies</v>
      </c>
      <c r="F100" s="6" t="str">
        <v>Cotton Fabric Roll</v>
      </c>
      <c r="G100" s="6" t="str">
        <v>Rafiq Islam</v>
      </c>
      <c r="H100" s="6">
        <v>154</v>
      </c>
      <c r="I100" s="6">
        <v>2410.1</v>
      </c>
      <c r="J100" s="6">
        <v>371155.39999999997</v>
      </c>
      <c r="K100" s="6" t="str">
        <v>Retail</v>
      </c>
      <c r="N100" s="6" t="str">
        <v>Rafiq Islam</v>
      </c>
    </row>
    <row r="101" spans="1:14" x14ac:dyDescent="0.25">
      <c r="A101" s="6">
        <v>1127</v>
      </c>
      <c r="B101" s="6" t="str">
        <v>2026-02-20</v>
      </c>
      <c r="C101" s="6" t="str">
        <v>Sylhet</v>
      </c>
      <c r="D101" s="6" t="str">
        <v>Sylhet</v>
      </c>
      <c r="E101" s="6" t="str">
        <v>FMCG</v>
      </c>
      <c r="F101" s="6" t="str">
        <v>Square Toiletries</v>
      </c>
      <c r="G101" s="6" t="str">
        <v>Kamal Hossain</v>
      </c>
      <c r="H101" s="6">
        <v>111</v>
      </c>
      <c r="I101" s="6">
        <v>3291.86</v>
      </c>
      <c r="J101" s="6">
        <v>365396.46</v>
      </c>
      <c r="K101" s="6" t="str">
        <v>Wholesale</v>
      </c>
      <c r="N101" s="6" t="str">
        <v>Kamal Hossain</v>
      </c>
    </row>
    <row r="102" spans="1:14" x14ac:dyDescent="0.25">
      <c r="A102" s="6">
        <v>1077</v>
      </c>
      <c r="B102" s="6" t="str">
        <v>2026-01-23</v>
      </c>
      <c r="C102" s="6" t="str">
        <v>Sylhet</v>
      </c>
      <c r="D102" s="6" t="str">
        <v>Sylhet</v>
      </c>
      <c r="E102" s="6" t="str">
        <v>Mobile Banking</v>
      </c>
      <c r="F102" s="6" t="str">
        <v>bKash Agent Kit</v>
      </c>
      <c r="G102" s="6" t="str">
        <v>Jahangir Alam</v>
      </c>
      <c r="H102" s="6">
        <v>130</v>
      </c>
      <c r="I102" s="6">
        <v>2798.12</v>
      </c>
      <c r="J102" s="6">
        <v>363755.6</v>
      </c>
      <c r="K102" s="6" t="str">
        <v>Wholesale</v>
      </c>
      <c r="N102" s="6" t="str">
        <v>Jahangir Alam</v>
      </c>
    </row>
    <row r="103" spans="1:14" x14ac:dyDescent="0.25">
      <c r="A103" s="6">
        <v>1161</v>
      </c>
      <c r="B103" s="6" t="str">
        <v>2026-03-02</v>
      </c>
      <c r="C103" s="6" t="str">
        <v>Khulna</v>
      </c>
      <c r="D103" s="6" t="str">
        <v>Khulna</v>
      </c>
      <c r="E103" s="6" t="str">
        <v>Mobile Banking</v>
      </c>
      <c r="F103" s="6" t="str">
        <v>Rocket Sim Pack</v>
      </c>
      <c r="G103" s="6" t="str">
        <v>Jahangir Alam</v>
      </c>
      <c r="H103" s="6">
        <v>123</v>
      </c>
      <c r="I103" s="6">
        <v>2922.63</v>
      </c>
      <c r="J103" s="6">
        <v>359483.49</v>
      </c>
      <c r="K103" s="6" t="str">
        <v>Wholesale</v>
      </c>
      <c r="N103" s="6" t="str">
        <v>Jahangir Alam</v>
      </c>
    </row>
    <row r="104" spans="1:14" x14ac:dyDescent="0.25">
      <c r="A104" s="6">
        <v>1060</v>
      </c>
      <c r="B104" s="6" t="str">
        <v>2026-03-07</v>
      </c>
      <c r="C104" s="6" t="str">
        <v>Khulna</v>
      </c>
      <c r="D104" s="6" t="str">
        <v>Khulna</v>
      </c>
      <c r="E104" s="6" t="str">
        <v>Telecom</v>
      </c>
      <c r="F104" s="6" t="str">
        <v>Grameenphone SIM</v>
      </c>
      <c r="G104" s="6" t="str">
        <v>Farzana Akter</v>
      </c>
      <c r="H104" s="6">
        <v>103</v>
      </c>
      <c r="I104" s="6">
        <v>3485.05</v>
      </c>
      <c r="J104" s="6">
        <v>358960.15</v>
      </c>
      <c r="K104" s="6" t="str">
        <v>Retail</v>
      </c>
      <c r="N104" s="6" t="str">
        <v>Farzana Akter</v>
      </c>
    </row>
    <row r="105" spans="1:14" x14ac:dyDescent="0.25">
      <c r="A105" s="6">
        <v>1038</v>
      </c>
      <c r="B105" s="6" t="str">
        <v>2026-02-02</v>
      </c>
      <c r="C105" s="6" t="str">
        <v>Sylhet</v>
      </c>
      <c r="D105" s="6" t="str">
        <v>Sylhet</v>
      </c>
      <c r="E105" s="6" t="str">
        <v>RMG Supplies</v>
      </c>
      <c r="F105" s="6" t="str">
        <v>Cotton Fabric Roll</v>
      </c>
      <c r="G105" s="6" t="str">
        <v>Nusrat Jahan</v>
      </c>
      <c r="H105" s="6">
        <v>167</v>
      </c>
      <c r="I105" s="6">
        <v>2146.6999999999998</v>
      </c>
      <c r="J105" s="6">
        <v>358498.89999999997</v>
      </c>
      <c r="K105" s="6" t="str">
        <v>Retail</v>
      </c>
      <c r="N105" s="6" t="str">
        <v>Nusrat Jahan</v>
      </c>
    </row>
    <row r="106" spans="1:14" x14ac:dyDescent="0.25">
      <c r="A106" s="6">
        <v>1121</v>
      </c>
      <c r="B106" s="6" t="str">
        <v>2026-02-27</v>
      </c>
      <c r="C106" s="6" t="str">
        <v>Rajshahi</v>
      </c>
      <c r="D106" s="6" t="str">
        <v>Rajshahi</v>
      </c>
      <c r="E106" s="6" t="str">
        <v>Telecom</v>
      </c>
      <c r="F106" s="6" t="str">
        <v>Grameenphone SIM</v>
      </c>
      <c r="G106" s="6" t="str">
        <v>Mitu Rahman</v>
      </c>
      <c r="H106" s="6">
        <v>140</v>
      </c>
      <c r="I106" s="6">
        <v>2533.88</v>
      </c>
      <c r="J106" s="6">
        <v>354743.2</v>
      </c>
      <c r="K106" s="6" t="str">
        <v>Retail</v>
      </c>
      <c r="N106" s="6" t="str">
        <v>Mitu Rahman</v>
      </c>
    </row>
    <row r="107" spans="1:14" x14ac:dyDescent="0.25">
      <c r="A107" s="6">
        <v>1125</v>
      </c>
      <c r="B107" s="6" t="str">
        <v>2026-01-02</v>
      </c>
      <c r="C107" s="6" t="str">
        <v>Chattogram</v>
      </c>
      <c r="D107" s="6" t="str">
        <v>Chattogram</v>
      </c>
      <c r="E107" s="6" t="str">
        <v>Retail Electronics</v>
      </c>
      <c r="F107" s="6" t="str">
        <v>Singer Blender</v>
      </c>
      <c r="G107" s="6" t="str">
        <v>Shahid Ahmed</v>
      </c>
      <c r="H107" s="6">
        <v>171</v>
      </c>
      <c r="I107" s="6">
        <v>2071.06</v>
      </c>
      <c r="J107" s="6">
        <v>354151.26</v>
      </c>
      <c r="K107" s="6" t="str">
        <v>Retail</v>
      </c>
      <c r="N107" s="6" t="str">
        <v>Shahid Ahmed</v>
      </c>
    </row>
    <row r="108" spans="1:14" x14ac:dyDescent="0.25">
      <c r="A108" s="6">
        <v>1173</v>
      </c>
      <c r="B108" s="6" t="str">
        <v>2026-01-27</v>
      </c>
      <c r="C108" s="6" t="str">
        <v>Khulna</v>
      </c>
      <c r="D108" s="6" t="str">
        <v>Jessore</v>
      </c>
      <c r="E108" s="6" t="str">
        <v>Retail Electronics</v>
      </c>
      <c r="F108" s="6" t="str">
        <v>Walton TV</v>
      </c>
      <c r="G108" s="6" t="str">
        <v>Jahangir Alam</v>
      </c>
      <c r="H108" s="6">
        <v>133</v>
      </c>
      <c r="I108" s="6">
        <v>2660.93</v>
      </c>
      <c r="J108" s="6">
        <v>353903.69</v>
      </c>
      <c r="K108" s="6" t="str">
        <v>Retail</v>
      </c>
      <c r="N108" s="6" t="str">
        <v>Jahangir Alam</v>
      </c>
    </row>
    <row r="109" spans="1:14" x14ac:dyDescent="0.25">
      <c r="A109" s="6">
        <v>1047</v>
      </c>
      <c r="B109" s="6" t="str">
        <v>2026-03-04</v>
      </c>
      <c r="C109" s="6" t="str">
        <v>Sylhet</v>
      </c>
      <c r="D109" s="6" t="str">
        <v>Sylhet</v>
      </c>
      <c r="E109" s="6" t="str">
        <v>RMG Supplies</v>
      </c>
      <c r="F109" s="6" t="str">
        <v>Garment Labels</v>
      </c>
      <c r="G109" s="6" t="str">
        <v>Mitu Rahman</v>
      </c>
      <c r="H109" s="6">
        <v>116</v>
      </c>
      <c r="I109" s="6">
        <v>3050.73</v>
      </c>
      <c r="J109" s="6">
        <v>353884.68</v>
      </c>
      <c r="K109" s="6" t="str">
        <v>Wholesale</v>
      </c>
      <c r="N109" s="6" t="str">
        <v>Mitu Rahman</v>
      </c>
    </row>
    <row r="110" spans="1:14" x14ac:dyDescent="0.25">
      <c r="A110" s="6">
        <v>1003</v>
      </c>
      <c r="B110" s="6" t="str">
        <v>2026-01-25</v>
      </c>
      <c r="C110" s="6" t="str">
        <v>Sylhet</v>
      </c>
      <c r="D110" s="6" t="str">
        <v>Sylhet</v>
      </c>
      <c r="E110" s="6" t="str">
        <v>FMCG</v>
      </c>
      <c r="F110" s="6" t="str">
        <v>Pran Juice Carton</v>
      </c>
      <c r="G110" s="6" t="str">
        <v>Farzana Akter</v>
      </c>
      <c r="H110" s="6">
        <v>119</v>
      </c>
      <c r="I110" s="6">
        <v>2966.87</v>
      </c>
      <c r="J110" s="6">
        <v>353057.52999999997</v>
      </c>
      <c r="K110" s="6" t="str">
        <v>Retail</v>
      </c>
      <c r="N110" s="6" t="str">
        <v>Farzana Akter</v>
      </c>
    </row>
    <row r="111" spans="1:14" x14ac:dyDescent="0.25">
      <c r="A111" s="6">
        <v>1004</v>
      </c>
      <c r="B111" s="6" t="str">
        <v>2026-01-13</v>
      </c>
      <c r="C111" s="6" t="str">
        <v>Rajshahi</v>
      </c>
      <c r="D111" s="6" t="str">
        <v>Bogura</v>
      </c>
      <c r="E111" s="6" t="str">
        <v>RMG Supplies</v>
      </c>
      <c r="F111" s="6" t="str">
        <v>Cotton Fabric Roll</v>
      </c>
      <c r="G111" s="6" t="str">
        <v>Farzana Akter</v>
      </c>
      <c r="H111" s="6">
        <v>200</v>
      </c>
      <c r="I111" s="6">
        <v>1716.14</v>
      </c>
      <c r="J111" s="6">
        <v>343228</v>
      </c>
      <c r="K111" s="6" t="str">
        <v>Retail</v>
      </c>
      <c r="N111" s="6" t="str">
        <v>Farzana Akter</v>
      </c>
    </row>
    <row r="112" spans="1:14" x14ac:dyDescent="0.25">
      <c r="A112" s="6">
        <v>1156</v>
      </c>
      <c r="B112" s="6" t="str">
        <v>2026-03-27</v>
      </c>
      <c r="C112" s="6" t="str">
        <v>Dhaka</v>
      </c>
      <c r="D112" s="6" t="str">
        <v>Narayanganj</v>
      </c>
      <c r="E112" s="6" t="str">
        <v>FMCG</v>
      </c>
      <c r="F112" s="6" t="str">
        <v>ACI Soap Pack</v>
      </c>
      <c r="G112" s="6" t="str">
        <v>Mitu Rahman</v>
      </c>
      <c r="H112" s="6">
        <v>94</v>
      </c>
      <c r="I112" s="6">
        <v>3650.53</v>
      </c>
      <c r="J112" s="6">
        <v>343149.82</v>
      </c>
      <c r="K112" s="6" t="str">
        <v>Retail</v>
      </c>
      <c r="N112" s="6" t="str">
        <v>Mitu Rahman</v>
      </c>
    </row>
    <row r="113" spans="1:14" x14ac:dyDescent="0.25">
      <c r="A113" s="6">
        <v>1171</v>
      </c>
      <c r="B113" s="6" t="str">
        <v>2026-01-15</v>
      </c>
      <c r="C113" s="6" t="str">
        <v>Sylhet</v>
      </c>
      <c r="D113" s="6" t="str">
        <v>Sylhet</v>
      </c>
      <c r="E113" s="6" t="str">
        <v>Retail Electronics</v>
      </c>
      <c r="F113" s="6" t="str">
        <v>Walton Fridge</v>
      </c>
      <c r="G113" s="6" t="str">
        <v>Jahangir Alam</v>
      </c>
      <c r="H113" s="6">
        <v>98</v>
      </c>
      <c r="I113" s="6">
        <v>3398</v>
      </c>
      <c r="J113" s="6">
        <v>333004</v>
      </c>
      <c r="K113" s="6" t="str">
        <v>Corporate</v>
      </c>
      <c r="N113" s="6" t="str">
        <v>Jahangir Alam</v>
      </c>
    </row>
    <row r="114" spans="1:14" x14ac:dyDescent="0.25">
      <c r="A114" s="6">
        <v>1054</v>
      </c>
      <c r="B114" s="6" t="str">
        <v>2026-03-28</v>
      </c>
      <c r="C114" s="6" t="str">
        <v>Chattogram</v>
      </c>
      <c r="D114" s="6" t="str">
        <v>Chattogram</v>
      </c>
      <c r="E114" s="6" t="str">
        <v>Telecom</v>
      </c>
      <c r="F114" s="6" t="str">
        <v>Grameenphone SIM</v>
      </c>
      <c r="G114" s="6" t="str">
        <v>Rafiq Islam</v>
      </c>
      <c r="H114" s="6">
        <v>67</v>
      </c>
      <c r="I114" s="6">
        <v>4920.4799999999996</v>
      </c>
      <c r="J114" s="6">
        <v>329672.15999999997</v>
      </c>
      <c r="K114" s="6" t="str">
        <v>Retail</v>
      </c>
      <c r="N114" s="6" t="str">
        <v>Rafiq Islam</v>
      </c>
    </row>
    <row r="115" spans="1:14" x14ac:dyDescent="0.25">
      <c r="A115" s="6">
        <v>1037</v>
      </c>
      <c r="B115" s="6" t="str">
        <v>2026-03-21</v>
      </c>
      <c r="C115" s="6" t="str">
        <v>Chattogram</v>
      </c>
      <c r="D115" s="6" t="str">
        <v>Cox's Bazar</v>
      </c>
      <c r="E115" s="6" t="str">
        <v>RMG Supplies</v>
      </c>
      <c r="F115" s="6" t="str">
        <v>Garment Labels</v>
      </c>
      <c r="G115" s="6" t="str">
        <v>Farzana Akter</v>
      </c>
      <c r="H115" s="6">
        <v>188</v>
      </c>
      <c r="I115" s="6">
        <v>1747.26</v>
      </c>
      <c r="J115" s="6">
        <v>328484.88</v>
      </c>
      <c r="K115" s="6" t="str">
        <v>Wholesale</v>
      </c>
      <c r="N115" s="6" t="str">
        <v>Farzana Akter</v>
      </c>
    </row>
    <row r="116" spans="1:14" x14ac:dyDescent="0.25">
      <c r="A116" s="6">
        <v>1106</v>
      </c>
      <c r="B116" s="6" t="str">
        <v>2026-03-26</v>
      </c>
      <c r="C116" s="6" t="str">
        <v>Sylhet</v>
      </c>
      <c r="D116" s="6" t="str">
        <v>Sylhet</v>
      </c>
      <c r="E116" s="6" t="str">
        <v>Telecom</v>
      </c>
      <c r="F116" s="6" t="str">
        <v>Robi Internet Pack</v>
      </c>
      <c r="G116" s="6" t="str">
        <v>Rafiq Islam</v>
      </c>
      <c r="H116" s="6">
        <v>86</v>
      </c>
      <c r="I116" s="6">
        <v>3736.29</v>
      </c>
      <c r="J116" s="6">
        <v>321320.94</v>
      </c>
      <c r="K116" s="6" t="str">
        <v>Wholesale</v>
      </c>
      <c r="N116" s="6" t="str">
        <v>Rafiq Islam</v>
      </c>
    </row>
    <row r="117" spans="1:14" x14ac:dyDescent="0.25">
      <c r="A117" s="6">
        <v>1064</v>
      </c>
      <c r="B117" s="6" t="str">
        <v>2026-03-01</v>
      </c>
      <c r="C117" s="6" t="str">
        <v>Rajshahi</v>
      </c>
      <c r="D117" s="6" t="str">
        <v>Rajshahi</v>
      </c>
      <c r="E117" s="6" t="str">
        <v>Retail Electronics</v>
      </c>
      <c r="F117" s="6" t="str">
        <v>Walton Fridge</v>
      </c>
      <c r="G117" s="6" t="str">
        <v>Rafiq Islam</v>
      </c>
      <c r="H117" s="6">
        <v>105</v>
      </c>
      <c r="I117" s="6">
        <v>2979.87</v>
      </c>
      <c r="J117" s="6">
        <v>312886.34999999998</v>
      </c>
      <c r="K117" s="6" t="str">
        <v>Retail</v>
      </c>
      <c r="N117" s="6" t="str">
        <v>Rafiq Islam</v>
      </c>
    </row>
    <row r="118" spans="1:14" x14ac:dyDescent="0.25">
      <c r="A118" s="6">
        <v>1137</v>
      </c>
      <c r="B118" s="6" t="str">
        <v>2026-02-04</v>
      </c>
      <c r="C118" s="6" t="str">
        <v>Sylhet</v>
      </c>
      <c r="D118" s="6" t="str">
        <v>Sylhet</v>
      </c>
      <c r="E118" s="6" t="str">
        <v>Retail Electronics</v>
      </c>
      <c r="F118" s="6" t="str">
        <v>Singer Blender</v>
      </c>
      <c r="G118" s="6" t="str">
        <v>Shahid Ahmed</v>
      </c>
      <c r="H118" s="6">
        <v>121</v>
      </c>
      <c r="I118" s="6">
        <v>2552.48</v>
      </c>
      <c r="J118" s="6">
        <v>308850.08</v>
      </c>
      <c r="K118" s="6" t="str">
        <v>Corporate</v>
      </c>
      <c r="N118" s="6" t="str">
        <v>Shahid Ahmed</v>
      </c>
    </row>
    <row r="119" spans="1:14" x14ac:dyDescent="0.25">
      <c r="A119" s="6">
        <v>1101</v>
      </c>
      <c r="B119" s="6" t="str">
        <v>2026-01-15</v>
      </c>
      <c r="C119" s="6" t="str">
        <v>Khulna</v>
      </c>
      <c r="D119" s="6" t="str">
        <v>Khulna</v>
      </c>
      <c r="E119" s="6" t="str">
        <v>FMCG</v>
      </c>
      <c r="F119" s="6" t="str">
        <v>Pran Juice Carton</v>
      </c>
      <c r="G119" s="6" t="str">
        <v>Nusrat Jahan</v>
      </c>
      <c r="H119" s="6">
        <v>62</v>
      </c>
      <c r="I119" s="6">
        <v>4961.67</v>
      </c>
      <c r="J119" s="6">
        <v>307623.53999999998</v>
      </c>
      <c r="K119" s="6" t="str">
        <v>Retail</v>
      </c>
      <c r="N119" s="6" t="str">
        <v>Nusrat Jahan</v>
      </c>
    </row>
    <row r="120" spans="1:14" x14ac:dyDescent="0.25">
      <c r="A120" s="6">
        <v>1071</v>
      </c>
      <c r="B120" s="6" t="str">
        <v>2026-02-03</v>
      </c>
      <c r="C120" s="6" t="str">
        <v>Khulna</v>
      </c>
      <c r="D120" s="6" t="str">
        <v>Khulna</v>
      </c>
      <c r="E120" s="6" t="str">
        <v>FMCG</v>
      </c>
      <c r="F120" s="6" t="str">
        <v>ACI Soap Pack</v>
      </c>
      <c r="G120" s="6" t="str">
        <v>Mitu Rahman</v>
      </c>
      <c r="H120" s="6">
        <v>141</v>
      </c>
      <c r="I120" s="6">
        <v>2170.4699999999998</v>
      </c>
      <c r="J120" s="6">
        <v>306036.26999999996</v>
      </c>
      <c r="K120" s="6" t="str">
        <v>Corporate</v>
      </c>
      <c r="N120" s="6" t="str">
        <v>Mitu Rahman</v>
      </c>
    </row>
    <row r="121" spans="1:14" x14ac:dyDescent="0.25">
      <c r="A121" s="6">
        <v>1134</v>
      </c>
      <c r="B121" s="6" t="str">
        <v>2026-03-02</v>
      </c>
      <c r="C121" s="6" t="str">
        <v>Rajshahi</v>
      </c>
      <c r="D121" s="6" t="str">
        <v>Bogura</v>
      </c>
      <c r="E121" s="6" t="str">
        <v>RMG Supplies</v>
      </c>
      <c r="F121" s="6" t="str">
        <v>Garment Labels</v>
      </c>
      <c r="G121" s="6" t="str">
        <v>Nusrat Jahan</v>
      </c>
      <c r="H121" s="6">
        <v>120</v>
      </c>
      <c r="I121" s="6">
        <v>2544</v>
      </c>
      <c r="J121" s="6">
        <v>305280</v>
      </c>
      <c r="K121" s="6" t="str">
        <v>Corporate</v>
      </c>
      <c r="N121" s="6" t="str">
        <v>Nusrat Jahan</v>
      </c>
    </row>
    <row r="122" spans="1:14" x14ac:dyDescent="0.25">
      <c r="A122" s="6">
        <v>1012</v>
      </c>
      <c r="B122" s="6" t="str">
        <v>2026-01-17</v>
      </c>
      <c r="C122" s="6" t="str">
        <v>Sylhet</v>
      </c>
      <c r="D122" s="6" t="str">
        <v>Sylhet</v>
      </c>
      <c r="E122" s="6" t="str">
        <v>FMCG</v>
      </c>
      <c r="F122" s="6" t="str">
        <v>Pran Juice Carton</v>
      </c>
      <c r="G122" s="6" t="str">
        <v>Mitu Rahman</v>
      </c>
      <c r="H122" s="6">
        <v>61</v>
      </c>
      <c r="I122" s="6">
        <v>4986.76</v>
      </c>
      <c r="J122" s="6">
        <v>304192.36</v>
      </c>
      <c r="K122" s="6" t="str">
        <v>Wholesale</v>
      </c>
      <c r="N122" s="6" t="str">
        <v>Mitu Rahman</v>
      </c>
    </row>
    <row r="123" spans="1:14" x14ac:dyDescent="0.25">
      <c r="A123" s="6">
        <v>1118</v>
      </c>
      <c r="B123" s="6" t="str">
        <v>2026-01-20</v>
      </c>
      <c r="C123" s="6" t="str">
        <v>Dhaka</v>
      </c>
      <c r="D123" s="6" t="str">
        <v>Narayanganj</v>
      </c>
      <c r="E123" s="6" t="str">
        <v>Mobile Banking</v>
      </c>
      <c r="F123" s="6" t="str">
        <v>Rocket Sim Pack</v>
      </c>
      <c r="G123" s="6" t="str">
        <v>Sumaiya Khan</v>
      </c>
      <c r="H123" s="6">
        <v>78</v>
      </c>
      <c r="I123" s="6">
        <v>3889.92</v>
      </c>
      <c r="J123" s="6">
        <v>303413.76000000001</v>
      </c>
      <c r="K123" s="6" t="str">
        <v>Wholesale</v>
      </c>
      <c r="N123" s="6" t="str">
        <v>Sumaiya Khan</v>
      </c>
    </row>
    <row r="124" spans="1:14" x14ac:dyDescent="0.25">
      <c r="A124" s="6">
        <v>1170</v>
      </c>
      <c r="B124" s="6" t="str">
        <v>2026-01-06</v>
      </c>
      <c r="C124" s="6" t="str">
        <v>Sylhet</v>
      </c>
      <c r="D124" s="6" t="str">
        <v>Sylhet</v>
      </c>
      <c r="E124" s="6" t="str">
        <v>RMG Supplies</v>
      </c>
      <c r="F124" s="6" t="str">
        <v>Garment Labels</v>
      </c>
      <c r="G124" s="6" t="str">
        <v>Kamal Hossain</v>
      </c>
      <c r="H124" s="6">
        <v>157</v>
      </c>
      <c r="I124" s="6">
        <v>1914.76</v>
      </c>
      <c r="J124" s="6">
        <v>300617.32</v>
      </c>
      <c r="K124" s="6" t="str">
        <v>Corporate</v>
      </c>
      <c r="N124" s="6" t="str">
        <v>Kamal Hossain</v>
      </c>
    </row>
    <row r="125" spans="1:14" x14ac:dyDescent="0.25">
      <c r="A125" s="6">
        <v>1051</v>
      </c>
      <c r="B125" s="6" t="str">
        <v>2026-01-10</v>
      </c>
      <c r="C125" s="6" t="str">
        <v>Rajshahi</v>
      </c>
      <c r="D125" s="6" t="str">
        <v>Rajshahi</v>
      </c>
      <c r="E125" s="6" t="str">
        <v>FMCG</v>
      </c>
      <c r="F125" s="6" t="str">
        <v>Square Toiletries</v>
      </c>
      <c r="G125" s="6" t="str">
        <v>Shahid Ahmed</v>
      </c>
      <c r="H125" s="6">
        <v>108</v>
      </c>
      <c r="I125" s="6">
        <v>2762.29</v>
      </c>
      <c r="J125" s="6">
        <v>298327.32</v>
      </c>
      <c r="K125" s="6" t="str">
        <v>Wholesale</v>
      </c>
      <c r="N125" s="6" t="str">
        <v>Shahid Ahmed</v>
      </c>
    </row>
    <row r="126" spans="1:14" x14ac:dyDescent="0.25">
      <c r="A126" s="6">
        <v>1009</v>
      </c>
      <c r="B126" s="6" t="str">
        <v>2026-01-08</v>
      </c>
      <c r="C126" s="6" t="str">
        <v>Chattogram</v>
      </c>
      <c r="D126" s="6" t="str">
        <v>Cox's Bazar</v>
      </c>
      <c r="E126" s="6" t="str">
        <v>Retail Electronics</v>
      </c>
      <c r="F126" s="6" t="str">
        <v>Walton TV</v>
      </c>
      <c r="G126" s="6" t="str">
        <v>Farzana Akter</v>
      </c>
      <c r="H126" s="6">
        <v>180</v>
      </c>
      <c r="I126" s="6">
        <v>1655.2</v>
      </c>
      <c r="J126" s="6">
        <v>297936</v>
      </c>
      <c r="K126" s="6" t="str">
        <v>Retail</v>
      </c>
      <c r="N126" s="6" t="str">
        <v>Farzana Akter</v>
      </c>
    </row>
    <row r="127" spans="1:14" x14ac:dyDescent="0.25">
      <c r="A127" s="6">
        <v>1026</v>
      </c>
      <c r="B127" s="6" t="str">
        <v>2026-01-15</v>
      </c>
      <c r="C127" s="6" t="str">
        <v>Chattogram</v>
      </c>
      <c r="D127" s="6" t="str">
        <v>Cox's Bazar</v>
      </c>
      <c r="E127" s="6" t="str">
        <v>Telecom</v>
      </c>
      <c r="F127" s="6" t="str">
        <v>Robi Internet Pack</v>
      </c>
      <c r="G127" s="6" t="str">
        <v>Sumaiya Khan</v>
      </c>
      <c r="H127" s="6">
        <v>68</v>
      </c>
      <c r="I127" s="6">
        <v>4378.71</v>
      </c>
      <c r="J127" s="6">
        <v>297752.28000000003</v>
      </c>
      <c r="K127" s="6" t="str">
        <v>Corporate</v>
      </c>
      <c r="N127" s="6" t="str">
        <v>Sumaiya Khan</v>
      </c>
    </row>
    <row r="128" spans="1:14" x14ac:dyDescent="0.25">
      <c r="A128" s="6">
        <v>1040</v>
      </c>
      <c r="B128" s="6" t="str">
        <v>2026-01-14</v>
      </c>
      <c r="C128" s="6" t="str">
        <v>Dhaka</v>
      </c>
      <c r="D128" s="6" t="str">
        <v>Narayanganj</v>
      </c>
      <c r="E128" s="6" t="str">
        <v>Telecom</v>
      </c>
      <c r="F128" s="6" t="str">
        <v>Banglalink Bundle</v>
      </c>
      <c r="G128" s="6" t="str">
        <v>Rafiq Islam</v>
      </c>
      <c r="H128" s="6">
        <v>99</v>
      </c>
      <c r="I128" s="6">
        <v>2933.42</v>
      </c>
      <c r="J128" s="6">
        <v>290408.58</v>
      </c>
      <c r="K128" s="6" t="str">
        <v>Retail</v>
      </c>
      <c r="N128" s="6" t="str">
        <v>Rafiq Islam</v>
      </c>
    </row>
    <row r="129" spans="1:14" x14ac:dyDescent="0.25">
      <c r="A129" s="6">
        <v>1063</v>
      </c>
      <c r="B129" s="6" t="str">
        <v>2026-02-11</v>
      </c>
      <c r="C129" s="6" t="str">
        <v>Sylhet</v>
      </c>
      <c r="D129" s="6" t="str">
        <v>Sylhet</v>
      </c>
      <c r="E129" s="6" t="str">
        <v>Retail Electronics</v>
      </c>
      <c r="F129" s="6" t="str">
        <v>Walton Fridge</v>
      </c>
      <c r="G129" s="6" t="str">
        <v>Shahid Ahmed</v>
      </c>
      <c r="H129" s="6">
        <v>116</v>
      </c>
      <c r="I129" s="6">
        <v>2453.9299999999998</v>
      </c>
      <c r="J129" s="6">
        <v>284655.88</v>
      </c>
      <c r="K129" s="6" t="str">
        <v>Corporate</v>
      </c>
      <c r="N129" s="6" t="str">
        <v>Shahid Ahmed</v>
      </c>
    </row>
    <row r="130" spans="1:14" x14ac:dyDescent="0.25">
      <c r="A130" s="6">
        <v>1084</v>
      </c>
      <c r="B130" s="6" t="str">
        <v>2026-01-02</v>
      </c>
      <c r="C130" s="6" t="str">
        <v>Dhaka</v>
      </c>
      <c r="D130" s="6" t="str">
        <v>Dhaka</v>
      </c>
      <c r="E130" s="6" t="str">
        <v>FMCG</v>
      </c>
      <c r="F130" s="6" t="str">
        <v>Pran Juice Carton</v>
      </c>
      <c r="G130" s="6" t="str">
        <v>Sumaiya Khan</v>
      </c>
      <c r="H130" s="6">
        <v>127</v>
      </c>
      <c r="I130" s="6">
        <v>2230.3200000000002</v>
      </c>
      <c r="J130" s="6">
        <v>283250.64</v>
      </c>
      <c r="K130" s="6" t="str">
        <v>Wholesale</v>
      </c>
      <c r="N130" s="6" t="str">
        <v>Sumaiya Khan</v>
      </c>
    </row>
    <row r="131" spans="1:14" x14ac:dyDescent="0.25">
      <c r="A131" s="6">
        <v>1042</v>
      </c>
      <c r="B131" s="6" t="str">
        <v>2026-01-14</v>
      </c>
      <c r="C131" s="6" t="str">
        <v>Sylhet</v>
      </c>
      <c r="D131" s="6" t="str">
        <v>Sylhet</v>
      </c>
      <c r="E131" s="6" t="str">
        <v>FMCG</v>
      </c>
      <c r="F131" s="6" t="str">
        <v>Square Toiletries</v>
      </c>
      <c r="G131" s="6" t="str">
        <v>Kamal Hossain</v>
      </c>
      <c r="H131" s="6">
        <v>65</v>
      </c>
      <c r="I131" s="6">
        <v>4329.8</v>
      </c>
      <c r="J131" s="6">
        <v>281437</v>
      </c>
      <c r="K131" s="6" t="str">
        <v>Retail</v>
      </c>
      <c r="N131" s="6" t="str">
        <v>Kamal Hossain</v>
      </c>
    </row>
    <row r="132" spans="1:14" x14ac:dyDescent="0.25">
      <c r="A132" s="6">
        <v>1174</v>
      </c>
      <c r="B132" s="6" t="str">
        <v>2026-01-23</v>
      </c>
      <c r="C132" s="6" t="str">
        <v>Sylhet</v>
      </c>
      <c r="D132" s="6" t="str">
        <v>Sylhet</v>
      </c>
      <c r="E132" s="6" t="str">
        <v>RMG Supplies</v>
      </c>
      <c r="F132" s="6" t="str">
        <v>Cotton Fabric Roll</v>
      </c>
      <c r="G132" s="6" t="str">
        <v>Sumaiya Khan</v>
      </c>
      <c r="H132" s="6">
        <v>100</v>
      </c>
      <c r="I132" s="6">
        <v>2794.98</v>
      </c>
      <c r="J132" s="6">
        <v>279498</v>
      </c>
      <c r="K132" s="6" t="str">
        <v>Corporate</v>
      </c>
      <c r="N132" s="6" t="str">
        <v>Sumaiya Khan</v>
      </c>
    </row>
    <row r="133" spans="1:14" x14ac:dyDescent="0.25">
      <c r="A133" s="6">
        <v>1074</v>
      </c>
      <c r="B133" s="6" t="str">
        <v>2026-01-09</v>
      </c>
      <c r="C133" s="6" t="str">
        <v>Rajshahi</v>
      </c>
      <c r="D133" s="6" t="str">
        <v>Bogura</v>
      </c>
      <c r="E133" s="6" t="str">
        <v>FMCG</v>
      </c>
      <c r="F133" s="6" t="str">
        <v>Pran Juice Carton</v>
      </c>
      <c r="G133" s="6" t="str">
        <v>Mitu Rahman</v>
      </c>
      <c r="H133" s="6">
        <v>67</v>
      </c>
      <c r="I133" s="6">
        <v>4162.12</v>
      </c>
      <c r="J133" s="6">
        <v>278862.03999999998</v>
      </c>
      <c r="K133" s="6" t="str">
        <v>Wholesale</v>
      </c>
      <c r="N133" s="6" t="str">
        <v>Mitu Rahman</v>
      </c>
    </row>
    <row r="134" spans="1:14" x14ac:dyDescent="0.25">
      <c r="A134" s="6">
        <v>1052</v>
      </c>
      <c r="B134" s="6" t="str">
        <v>2026-03-07</v>
      </c>
      <c r="C134" s="6" t="str">
        <v>Chattogram</v>
      </c>
      <c r="D134" s="6" t="str">
        <v>Cox's Bazar</v>
      </c>
      <c r="E134" s="6" t="str">
        <v>FMCG</v>
      </c>
      <c r="F134" s="6" t="str">
        <v>Square Toiletries</v>
      </c>
      <c r="G134" s="6" t="str">
        <v>Mitu Rahman</v>
      </c>
      <c r="H134" s="6">
        <v>124</v>
      </c>
      <c r="I134" s="6">
        <v>2236.84</v>
      </c>
      <c r="J134" s="6">
        <v>277368.16000000003</v>
      </c>
      <c r="K134" s="6" t="str">
        <v>Corporate</v>
      </c>
      <c r="N134" s="6" t="str">
        <v>Mitu Rahman</v>
      </c>
    </row>
    <row r="135" spans="1:14" x14ac:dyDescent="0.25">
      <c r="A135" s="6">
        <v>1050</v>
      </c>
      <c r="B135" s="6" t="str">
        <v>2026-01-07</v>
      </c>
      <c r="C135" s="6" t="str">
        <v>Sylhet</v>
      </c>
      <c r="D135" s="6" t="str">
        <v>Sylhet</v>
      </c>
      <c r="E135" s="6" t="str">
        <v>Retail Electronics</v>
      </c>
      <c r="F135" s="6" t="str">
        <v>Walton TV</v>
      </c>
      <c r="G135" s="6" t="str">
        <v>Jahangir Alam</v>
      </c>
      <c r="H135" s="6">
        <v>183</v>
      </c>
      <c r="I135" s="6">
        <v>1513.49</v>
      </c>
      <c r="J135" s="6">
        <v>276968.67</v>
      </c>
      <c r="K135" s="6" t="str">
        <v>Wholesale</v>
      </c>
      <c r="N135" s="6" t="str">
        <v>Jahangir Alam</v>
      </c>
    </row>
    <row r="136" spans="1:14" x14ac:dyDescent="0.25">
      <c r="A136" s="6">
        <v>1081</v>
      </c>
      <c r="B136" s="6" t="str">
        <v>2026-03-20</v>
      </c>
      <c r="C136" s="6" t="str">
        <v>Sylhet</v>
      </c>
      <c r="D136" s="6" t="str">
        <v>Sylhet</v>
      </c>
      <c r="E136" s="6" t="str">
        <v>Telecom</v>
      </c>
      <c r="F136" s="6" t="str">
        <v>Grameenphone SIM</v>
      </c>
      <c r="G136" s="6" t="str">
        <v>Sumaiya Khan</v>
      </c>
      <c r="H136" s="6">
        <v>75</v>
      </c>
      <c r="I136" s="6">
        <v>3636.7</v>
      </c>
      <c r="J136" s="6">
        <v>272752.5</v>
      </c>
      <c r="K136" s="6" t="str">
        <v>Wholesale</v>
      </c>
      <c r="N136" s="6" t="str">
        <v>Sumaiya Khan</v>
      </c>
    </row>
    <row r="137" spans="1:14" x14ac:dyDescent="0.25">
      <c r="A137" s="6">
        <v>1136</v>
      </c>
      <c r="B137" s="6" t="str">
        <v>2026-01-05</v>
      </c>
      <c r="C137" s="6" t="str">
        <v>Dhaka</v>
      </c>
      <c r="D137" s="6" t="str">
        <v>Gazipur</v>
      </c>
      <c r="E137" s="6" t="str">
        <v>Retail Electronics</v>
      </c>
      <c r="F137" s="6" t="str">
        <v>Walton Fridge</v>
      </c>
      <c r="G137" s="6" t="str">
        <v>Nusrat Jahan</v>
      </c>
      <c r="H137" s="6">
        <v>87</v>
      </c>
      <c r="I137" s="6">
        <v>3061.07</v>
      </c>
      <c r="J137" s="6">
        <v>266313.09000000003</v>
      </c>
      <c r="K137" s="6" t="str">
        <v>Wholesale</v>
      </c>
      <c r="N137" s="6" t="str">
        <v>Nusrat Jahan</v>
      </c>
    </row>
    <row r="138" spans="1:14" x14ac:dyDescent="0.25">
      <c r="A138" s="6">
        <v>1055</v>
      </c>
      <c r="B138" s="6" t="str">
        <v>2026-01-21</v>
      </c>
      <c r="C138" s="6" t="str">
        <v>Rajshahi</v>
      </c>
      <c r="D138" s="6" t="str">
        <v>Bogura</v>
      </c>
      <c r="E138" s="6" t="str">
        <v>FMCG</v>
      </c>
      <c r="F138" s="6" t="str">
        <v>ACI Soap Pack</v>
      </c>
      <c r="G138" s="6" t="str">
        <v>Jahangir Alam</v>
      </c>
      <c r="H138" s="6">
        <v>131</v>
      </c>
      <c r="I138" s="6">
        <v>2028.28</v>
      </c>
      <c r="J138" s="6">
        <v>265704.68</v>
      </c>
      <c r="K138" s="6" t="str">
        <v>Corporate</v>
      </c>
      <c r="N138" s="6" t="str">
        <v>Jahangir Alam</v>
      </c>
    </row>
    <row r="139" spans="1:14" x14ac:dyDescent="0.25">
      <c r="A139" s="6">
        <v>1023</v>
      </c>
      <c r="B139" s="6" t="str">
        <v>2026-02-07</v>
      </c>
      <c r="C139" s="6" t="str">
        <v>Chattogram</v>
      </c>
      <c r="D139" s="6" t="str">
        <v>Chattogram</v>
      </c>
      <c r="E139" s="6" t="str">
        <v>FMCG</v>
      </c>
      <c r="F139" s="6" t="str">
        <v>Square Toiletries</v>
      </c>
      <c r="G139" s="6" t="str">
        <v>Sumaiya Khan</v>
      </c>
      <c r="H139" s="6">
        <v>67</v>
      </c>
      <c r="I139" s="6">
        <v>3933.87</v>
      </c>
      <c r="J139" s="6">
        <v>263569.28999999998</v>
      </c>
      <c r="K139" s="6" t="str">
        <v>Retail</v>
      </c>
      <c r="N139" s="6" t="str">
        <v>Sumaiya Khan</v>
      </c>
    </row>
    <row r="140" spans="1:14" x14ac:dyDescent="0.25">
      <c r="A140" s="6">
        <v>1049</v>
      </c>
      <c r="B140" s="6" t="str">
        <v>2026-01-24</v>
      </c>
      <c r="C140" s="6" t="str">
        <v>Chattogram</v>
      </c>
      <c r="D140" s="6" t="str">
        <v>Cox's Bazar</v>
      </c>
      <c r="E140" s="6" t="str">
        <v>Retail Electronics</v>
      </c>
      <c r="F140" s="6" t="str">
        <v>Walton Fridge</v>
      </c>
      <c r="G140" s="6" t="str">
        <v>Mitu Rahman</v>
      </c>
      <c r="H140" s="6">
        <v>164</v>
      </c>
      <c r="I140" s="6">
        <v>1603.88</v>
      </c>
      <c r="J140" s="6">
        <v>263036.32</v>
      </c>
      <c r="K140" s="6" t="str">
        <v>Wholesale</v>
      </c>
      <c r="N140" s="6" t="str">
        <v>Mitu Rahman</v>
      </c>
    </row>
    <row r="141" spans="1:14" x14ac:dyDescent="0.25">
      <c r="A141" s="6">
        <v>1138</v>
      </c>
      <c r="B141" s="6" t="str">
        <v>2026-01-14</v>
      </c>
      <c r="C141" s="6" t="str">
        <v>Dhaka</v>
      </c>
      <c r="D141" s="6" t="str">
        <v>Narayanganj</v>
      </c>
      <c r="E141" s="6" t="str">
        <v>FMCG</v>
      </c>
      <c r="F141" s="6" t="str">
        <v>Square Toiletries</v>
      </c>
      <c r="G141" s="6" t="str">
        <v>Farzana Akter</v>
      </c>
      <c r="H141" s="6">
        <v>115</v>
      </c>
      <c r="I141" s="6">
        <v>2285.1999999999998</v>
      </c>
      <c r="J141" s="6">
        <v>262798</v>
      </c>
      <c r="K141" s="6" t="str">
        <v>Wholesale</v>
      </c>
      <c r="N141" s="6" t="str">
        <v>Farzana Akter</v>
      </c>
    </row>
    <row r="142" spans="1:14" x14ac:dyDescent="0.25">
      <c r="A142" s="6">
        <v>1024</v>
      </c>
      <c r="B142" s="6" t="str">
        <v>2026-03-02</v>
      </c>
      <c r="C142" s="6" t="str">
        <v>Dhaka</v>
      </c>
      <c r="D142" s="6" t="str">
        <v>Narayanganj</v>
      </c>
      <c r="E142" s="6" t="str">
        <v>Retail Electronics</v>
      </c>
      <c r="F142" s="6" t="str">
        <v>Walton TV</v>
      </c>
      <c r="G142" s="6" t="str">
        <v>Jahangir Alam</v>
      </c>
      <c r="H142" s="6">
        <v>110</v>
      </c>
      <c r="I142" s="6">
        <v>2361.77</v>
      </c>
      <c r="J142" s="6">
        <v>259794.7</v>
      </c>
      <c r="K142" s="6" t="str">
        <v>Corporate</v>
      </c>
      <c r="N142" s="6" t="str">
        <v>Jahangir Alam</v>
      </c>
    </row>
    <row r="143" spans="1:14" x14ac:dyDescent="0.25">
      <c r="A143" s="6">
        <v>1146</v>
      </c>
      <c r="B143" s="6" t="str">
        <v>2026-01-12</v>
      </c>
      <c r="C143" s="6" t="str">
        <v>Dhaka</v>
      </c>
      <c r="D143" s="6" t="str">
        <v>Dhaka</v>
      </c>
      <c r="E143" s="6" t="str">
        <v>FMCG</v>
      </c>
      <c r="F143" s="6" t="str">
        <v>ACI Soap Pack</v>
      </c>
      <c r="G143" s="6" t="str">
        <v>Jahangir Alam</v>
      </c>
      <c r="H143" s="6">
        <v>112</v>
      </c>
      <c r="I143" s="6">
        <v>2295.5500000000002</v>
      </c>
      <c r="J143" s="6">
        <v>257101.60000000003</v>
      </c>
      <c r="K143" s="6" t="str">
        <v>Wholesale</v>
      </c>
      <c r="N143" s="6" t="str">
        <v>Jahangir Alam</v>
      </c>
    </row>
    <row r="144" spans="1:14" x14ac:dyDescent="0.25">
      <c r="A144" s="6">
        <v>1129</v>
      </c>
      <c r="B144" s="6" t="str">
        <v>2026-02-03</v>
      </c>
      <c r="C144" s="6" t="str">
        <v>Khulna</v>
      </c>
      <c r="D144" s="6" t="str">
        <v>Jessore</v>
      </c>
      <c r="E144" s="6" t="str">
        <v>Mobile Banking</v>
      </c>
      <c r="F144" s="6" t="str">
        <v>Nagad POS Device</v>
      </c>
      <c r="G144" s="6" t="str">
        <v>Shahid Ahmed</v>
      </c>
      <c r="H144" s="6">
        <v>53</v>
      </c>
      <c r="I144" s="6">
        <v>4842.62</v>
      </c>
      <c r="J144" s="6">
        <v>256658.86</v>
      </c>
      <c r="K144" s="6" t="str">
        <v>Corporate</v>
      </c>
      <c r="N144" s="6" t="str">
        <v>Shahid Ahmed</v>
      </c>
    </row>
    <row r="145" spans="1:14" x14ac:dyDescent="0.25">
      <c r="A145" s="6">
        <v>1179</v>
      </c>
      <c r="B145" s="6" t="str">
        <v>2026-03-24</v>
      </c>
      <c r="C145" s="6" t="str">
        <v>Sylhet</v>
      </c>
      <c r="D145" s="6" t="str">
        <v>Sylhet</v>
      </c>
      <c r="E145" s="6" t="str">
        <v>Mobile Banking</v>
      </c>
      <c r="F145" s="6" t="str">
        <v>bKash Agent Kit</v>
      </c>
      <c r="G145" s="6" t="str">
        <v>Shahid Ahmed</v>
      </c>
      <c r="H145" s="6">
        <v>60</v>
      </c>
      <c r="I145" s="6">
        <v>4183.07</v>
      </c>
      <c r="J145" s="6">
        <v>250984.19999999998</v>
      </c>
      <c r="K145" s="6" t="str">
        <v>Corporate</v>
      </c>
      <c r="N145" s="6" t="str">
        <v>Shahid Ahmed</v>
      </c>
    </row>
    <row r="146" spans="1:14" x14ac:dyDescent="0.25">
      <c r="A146" s="6">
        <v>1088</v>
      </c>
      <c r="B146" s="6" t="str">
        <v>2026-01-08</v>
      </c>
      <c r="C146" s="6" t="str">
        <v>Dhaka</v>
      </c>
      <c r="D146" s="6" t="str">
        <v>Narayanganj</v>
      </c>
      <c r="E146" s="6" t="str">
        <v>Mobile Banking</v>
      </c>
      <c r="F146" s="6" t="str">
        <v>bKash Agent Kit</v>
      </c>
      <c r="G146" s="6" t="str">
        <v>Farzana Akter</v>
      </c>
      <c r="H146" s="6">
        <v>72</v>
      </c>
      <c r="I146" s="6">
        <v>3319.12</v>
      </c>
      <c r="J146" s="6">
        <v>238976.63999999998</v>
      </c>
      <c r="K146" s="6" t="str">
        <v>Retail</v>
      </c>
      <c r="N146" s="6" t="str">
        <v>Farzana Akter</v>
      </c>
    </row>
    <row r="147" spans="1:14" x14ac:dyDescent="0.25">
      <c r="A147" s="6">
        <v>1167</v>
      </c>
      <c r="B147" s="6" t="str">
        <v>2026-03-26</v>
      </c>
      <c r="C147" s="6" t="str">
        <v>Rajshahi</v>
      </c>
      <c r="D147" s="6" t="str">
        <v>Rajshahi</v>
      </c>
      <c r="E147" s="6" t="str">
        <v>FMCG</v>
      </c>
      <c r="F147" s="6" t="str">
        <v>Square Toiletries</v>
      </c>
      <c r="G147" s="6" t="str">
        <v>Nusrat Jahan</v>
      </c>
      <c r="H147" s="6">
        <v>84</v>
      </c>
      <c r="I147" s="6">
        <v>2816.66</v>
      </c>
      <c r="J147" s="6">
        <v>236599.44</v>
      </c>
      <c r="K147" s="6" t="str">
        <v>Wholesale</v>
      </c>
      <c r="N147" s="6" t="str">
        <v>Nusrat Jahan</v>
      </c>
    </row>
    <row r="148" spans="1:14" x14ac:dyDescent="0.25">
      <c r="A148" s="6">
        <v>1150</v>
      </c>
      <c r="B148" s="6" t="str">
        <v>2026-02-10</v>
      </c>
      <c r="C148" s="6" t="str">
        <v>Sylhet</v>
      </c>
      <c r="D148" s="6" t="str">
        <v>Sylhet</v>
      </c>
      <c r="E148" s="6" t="str">
        <v>Mobile Banking</v>
      </c>
      <c r="F148" s="6" t="str">
        <v>bKash Agent Kit</v>
      </c>
      <c r="G148" s="6" t="str">
        <v>Shahid Ahmed</v>
      </c>
      <c r="H148" s="6">
        <v>59</v>
      </c>
      <c r="I148" s="6">
        <v>3848.38</v>
      </c>
      <c r="J148" s="6">
        <v>227054.42</v>
      </c>
      <c r="K148" s="6" t="str">
        <v>Wholesale</v>
      </c>
      <c r="N148" s="6" t="str">
        <v>Shahid Ahmed</v>
      </c>
    </row>
    <row r="149" spans="1:14" x14ac:dyDescent="0.25">
      <c r="A149" s="6">
        <v>1069</v>
      </c>
      <c r="B149" s="6" t="str">
        <v>2026-01-19</v>
      </c>
      <c r="C149" s="6" t="str">
        <v>Khulna</v>
      </c>
      <c r="D149" s="6" t="str">
        <v>Jessore</v>
      </c>
      <c r="E149" s="6" t="str">
        <v>Telecom</v>
      </c>
      <c r="F149" s="6" t="str">
        <v>Banglalink Bundle</v>
      </c>
      <c r="G149" s="6" t="str">
        <v>Nusrat Jahan</v>
      </c>
      <c r="H149" s="6">
        <v>46</v>
      </c>
      <c r="I149" s="6">
        <v>4825.37</v>
      </c>
      <c r="J149" s="6">
        <v>221967.02</v>
      </c>
      <c r="K149" s="6" t="str">
        <v>Retail</v>
      </c>
      <c r="N149" s="6" t="str">
        <v>Nusrat Jahan</v>
      </c>
    </row>
    <row r="150" spans="1:14" x14ac:dyDescent="0.25">
      <c r="A150" s="6">
        <v>1164</v>
      </c>
      <c r="B150" s="6" t="str">
        <v>2026-02-22</v>
      </c>
      <c r="C150" s="6" t="str">
        <v>Sylhet</v>
      </c>
      <c r="D150" s="6" t="str">
        <v>Sylhet</v>
      </c>
      <c r="E150" s="6" t="str">
        <v>RMG Supplies</v>
      </c>
      <c r="F150" s="6" t="str">
        <v>Sewing Thread Box</v>
      </c>
      <c r="G150" s="6" t="str">
        <v>Shahid Ahmed</v>
      </c>
      <c r="H150" s="6">
        <v>104</v>
      </c>
      <c r="I150" s="6">
        <v>2073.41</v>
      </c>
      <c r="J150" s="6">
        <v>215634.63999999998</v>
      </c>
      <c r="K150" s="6" t="str">
        <v>Corporate</v>
      </c>
      <c r="N150" s="6" t="str">
        <v>Shahid Ahmed</v>
      </c>
    </row>
    <row r="151" spans="1:14" x14ac:dyDescent="0.25">
      <c r="A151" s="6">
        <v>1041</v>
      </c>
      <c r="B151" s="6" t="str">
        <v>2026-03-04</v>
      </c>
      <c r="C151" s="6" t="str">
        <v>Dhaka</v>
      </c>
      <c r="D151" s="6" t="str">
        <v>Gazipur</v>
      </c>
      <c r="E151" s="6" t="str">
        <v>RMG Supplies</v>
      </c>
      <c r="F151" s="6" t="str">
        <v>Cotton Fabric Roll</v>
      </c>
      <c r="G151" s="6" t="str">
        <v>Mitu Rahman</v>
      </c>
      <c r="H151" s="6">
        <v>58</v>
      </c>
      <c r="I151" s="6">
        <v>3426.23</v>
      </c>
      <c r="J151" s="6">
        <v>198721.34</v>
      </c>
      <c r="K151" s="6" t="str">
        <v>Wholesale</v>
      </c>
      <c r="N151" s="6" t="str">
        <v>Mitu Rahman</v>
      </c>
    </row>
    <row r="152" spans="1:14" x14ac:dyDescent="0.25">
      <c r="A152" s="6">
        <v>1160</v>
      </c>
      <c r="B152" s="6" t="str">
        <v>2026-01-02</v>
      </c>
      <c r="C152" s="6" t="str">
        <v>Sylhet</v>
      </c>
      <c r="D152" s="6" t="str">
        <v>Sylhet</v>
      </c>
      <c r="E152" s="6" t="str">
        <v>RMG Supplies</v>
      </c>
      <c r="F152" s="6" t="str">
        <v>Garment Labels</v>
      </c>
      <c r="G152" s="6" t="str">
        <v>Nusrat Jahan</v>
      </c>
      <c r="H152" s="6">
        <v>84</v>
      </c>
      <c r="I152" s="6">
        <v>2335.63</v>
      </c>
      <c r="J152" s="6">
        <v>196192.92</v>
      </c>
      <c r="K152" s="6" t="str">
        <v>Wholesale</v>
      </c>
      <c r="N152" s="6" t="str">
        <v>Nusrat Jahan</v>
      </c>
    </row>
    <row r="153" spans="1:14" x14ac:dyDescent="0.25">
      <c r="A153" s="6">
        <v>1123</v>
      </c>
      <c r="B153" s="6" t="str">
        <v>2026-02-12</v>
      </c>
      <c r="C153" s="6" t="str">
        <v>Rajshahi</v>
      </c>
      <c r="D153" s="6" t="str">
        <v>Bogura</v>
      </c>
      <c r="E153" s="6" t="str">
        <v>Mobile Banking</v>
      </c>
      <c r="F153" s="6" t="str">
        <v>Nagad POS Device</v>
      </c>
      <c r="G153" s="6" t="str">
        <v>Rafiq Islam</v>
      </c>
      <c r="H153" s="6">
        <v>72</v>
      </c>
      <c r="I153" s="6">
        <v>2706.03</v>
      </c>
      <c r="J153" s="6">
        <v>194834.16</v>
      </c>
      <c r="K153" s="6" t="str">
        <v>Corporate</v>
      </c>
      <c r="N153" s="6" t="str">
        <v>Rafiq Islam</v>
      </c>
    </row>
    <row r="154" spans="1:14" x14ac:dyDescent="0.25">
      <c r="A154" s="6">
        <v>1019</v>
      </c>
      <c r="B154" s="6" t="str">
        <v>2026-03-14</v>
      </c>
      <c r="C154" s="6" t="str">
        <v>Chattogram</v>
      </c>
      <c r="D154" s="6" t="str">
        <v>Chattogram</v>
      </c>
      <c r="E154" s="6" t="str">
        <v>Retail Electronics</v>
      </c>
      <c r="F154" s="6" t="str">
        <v>Singer Blender</v>
      </c>
      <c r="G154" s="6" t="str">
        <v>Kamal Hossain</v>
      </c>
      <c r="H154" s="6">
        <v>72</v>
      </c>
      <c r="I154" s="6">
        <v>2661.99</v>
      </c>
      <c r="J154" s="6">
        <v>191663.27999999997</v>
      </c>
      <c r="K154" s="6" t="str">
        <v>Retail</v>
      </c>
      <c r="N154" s="6" t="str">
        <v>Kamal Hossain</v>
      </c>
    </row>
    <row r="155" spans="1:14" x14ac:dyDescent="0.25">
      <c r="A155" s="6">
        <v>1139</v>
      </c>
      <c r="B155" s="6" t="str">
        <v>2026-03-09</v>
      </c>
      <c r="C155" s="6" t="str">
        <v>Rajshahi</v>
      </c>
      <c r="D155" s="6" t="str">
        <v>Bogura</v>
      </c>
      <c r="E155" s="6" t="str">
        <v>Retail Electronics</v>
      </c>
      <c r="F155" s="6" t="str">
        <v>Singer Blender</v>
      </c>
      <c r="G155" s="6" t="str">
        <v>Nusrat Jahan</v>
      </c>
      <c r="H155" s="6">
        <v>85</v>
      </c>
      <c r="I155" s="6">
        <v>2162.48</v>
      </c>
      <c r="J155" s="6">
        <v>183810.8</v>
      </c>
      <c r="K155" s="6" t="str">
        <v>Wholesale</v>
      </c>
      <c r="N155" s="6" t="str">
        <v>Nusrat Jahan</v>
      </c>
    </row>
    <row r="156" spans="1:14" x14ac:dyDescent="0.25">
      <c r="A156" s="6">
        <v>1021</v>
      </c>
      <c r="B156" s="6" t="str">
        <v>2026-01-23</v>
      </c>
      <c r="C156" s="6" t="str">
        <v>Chattogram</v>
      </c>
      <c r="D156" s="6" t="str">
        <v>Chattogram</v>
      </c>
      <c r="E156" s="6" t="str">
        <v>RMG Supplies</v>
      </c>
      <c r="F156" s="6" t="str">
        <v>Cotton Fabric Roll</v>
      </c>
      <c r="G156" s="6" t="str">
        <v>Farzana Akter</v>
      </c>
      <c r="H156" s="6">
        <v>155</v>
      </c>
      <c r="I156" s="6">
        <v>1140.08</v>
      </c>
      <c r="J156" s="6">
        <v>176712.4</v>
      </c>
      <c r="K156" s="6" t="str">
        <v>Corporate</v>
      </c>
      <c r="N156" s="6" t="str">
        <v>Farzana Akter</v>
      </c>
    </row>
    <row r="157" spans="1:14" x14ac:dyDescent="0.25">
      <c r="A157" s="6">
        <v>1148</v>
      </c>
      <c r="B157" s="6" t="str">
        <v>2026-03-04</v>
      </c>
      <c r="C157" s="6" t="str">
        <v>Rajshahi</v>
      </c>
      <c r="D157" s="6" t="str">
        <v>Bogura</v>
      </c>
      <c r="E157" s="6" t="str">
        <v>Retail Electronics</v>
      </c>
      <c r="F157" s="6" t="str">
        <v>Singer Blender</v>
      </c>
      <c r="G157" s="6" t="str">
        <v>Sumaiya Khan</v>
      </c>
      <c r="H157" s="6">
        <v>111</v>
      </c>
      <c r="I157" s="6">
        <v>1402.18</v>
      </c>
      <c r="J157" s="6">
        <v>155641.98000000001</v>
      </c>
      <c r="K157" s="6" t="str">
        <v>Wholesale</v>
      </c>
      <c r="N157" s="6" t="str">
        <v>Sumaiya Khan</v>
      </c>
    </row>
    <row r="158" spans="1:14" x14ac:dyDescent="0.25">
      <c r="A158" s="6">
        <v>1114</v>
      </c>
      <c r="B158" s="6" t="str">
        <v>2026-02-15</v>
      </c>
      <c r="C158" s="6" t="str">
        <v>Sylhet</v>
      </c>
      <c r="D158" s="6" t="str">
        <v>Sylhet</v>
      </c>
      <c r="E158" s="6" t="str">
        <v>Retail Electronics</v>
      </c>
      <c r="F158" s="6" t="str">
        <v>Singer Blender</v>
      </c>
      <c r="G158" s="6" t="str">
        <v>Kamal Hossain</v>
      </c>
      <c r="H158" s="6">
        <v>64</v>
      </c>
      <c r="I158" s="6">
        <v>2332.69</v>
      </c>
      <c r="J158" s="6">
        <v>149292.16</v>
      </c>
      <c r="K158" s="6" t="str">
        <v>Wholesale</v>
      </c>
      <c r="N158" s="6" t="str">
        <v>Kamal Hossain</v>
      </c>
    </row>
    <row r="159" spans="1:14" x14ac:dyDescent="0.25">
      <c r="A159" s="6">
        <v>1166</v>
      </c>
      <c r="B159" s="6" t="str">
        <v>2026-03-23</v>
      </c>
      <c r="C159" s="6" t="str">
        <v>Sylhet</v>
      </c>
      <c r="D159" s="6" t="str">
        <v>Sylhet</v>
      </c>
      <c r="E159" s="6" t="str">
        <v>RMG Supplies</v>
      </c>
      <c r="F159" s="6" t="str">
        <v>Cotton Fabric Roll</v>
      </c>
      <c r="G159" s="6" t="str">
        <v>Kamal Hossain</v>
      </c>
      <c r="H159" s="6">
        <v>94</v>
      </c>
      <c r="I159" s="6">
        <v>1585.65</v>
      </c>
      <c r="J159" s="6">
        <v>149051.1</v>
      </c>
      <c r="K159" s="6" t="str">
        <v>Corporate</v>
      </c>
      <c r="N159" s="6" t="str">
        <v>Kamal Hossain</v>
      </c>
    </row>
    <row r="160" spans="1:14" x14ac:dyDescent="0.25">
      <c r="A160" s="6">
        <v>1157</v>
      </c>
      <c r="B160" s="6" t="str">
        <v>2026-03-03</v>
      </c>
      <c r="C160" s="6" t="str">
        <v>Chattogram</v>
      </c>
      <c r="D160" s="6" t="str">
        <v>Chattogram</v>
      </c>
      <c r="E160" s="6" t="str">
        <v>Telecom</v>
      </c>
      <c r="F160" s="6" t="str">
        <v>Robi Internet Pack</v>
      </c>
      <c r="G160" s="6" t="str">
        <v>Farzana Akter</v>
      </c>
      <c r="H160" s="6">
        <v>49</v>
      </c>
      <c r="I160" s="6">
        <v>3031.87</v>
      </c>
      <c r="J160" s="6">
        <v>148561.63</v>
      </c>
      <c r="K160" s="6" t="str">
        <v>Retail</v>
      </c>
      <c r="N160" s="6" t="str">
        <v>Farzana Akter</v>
      </c>
    </row>
    <row r="161" spans="1:14" x14ac:dyDescent="0.25">
      <c r="A161" s="6">
        <v>1001</v>
      </c>
      <c r="B161" s="6" t="str">
        <v>2026-03-24</v>
      </c>
      <c r="C161" s="6" t="str">
        <v>Dhaka</v>
      </c>
      <c r="D161" s="6" t="str">
        <v>Dhaka</v>
      </c>
      <c r="E161" s="6" t="str">
        <v>RMG Supplies</v>
      </c>
      <c r="F161" s="6" t="str">
        <v>Cotton Fabric Roll</v>
      </c>
      <c r="G161" s="6" t="str">
        <v>Farzana Akter</v>
      </c>
      <c r="H161" s="6">
        <v>40</v>
      </c>
      <c r="I161" s="6">
        <v>3695.53</v>
      </c>
      <c r="J161" s="6">
        <v>147821.20000000001</v>
      </c>
      <c r="K161" s="6" t="str">
        <v>Corporate</v>
      </c>
      <c r="N161" s="6" t="str">
        <v>Farzana Akter</v>
      </c>
    </row>
    <row r="162" spans="1:14" x14ac:dyDescent="0.25">
      <c r="A162" s="6">
        <v>1096</v>
      </c>
      <c r="B162" s="6" t="str">
        <v>2026-01-28</v>
      </c>
      <c r="C162" s="6" t="str">
        <v>Rajshahi</v>
      </c>
      <c r="D162" s="6" t="str">
        <v>Rajshahi</v>
      </c>
      <c r="E162" s="6" t="str">
        <v>Retail Electronics</v>
      </c>
      <c r="F162" s="6" t="str">
        <v>Walton TV</v>
      </c>
      <c r="G162" s="6" t="str">
        <v>Jahangir Alam</v>
      </c>
      <c r="H162" s="6">
        <v>90</v>
      </c>
      <c r="I162" s="6">
        <v>1639.24</v>
      </c>
      <c r="J162" s="6">
        <v>147531.6</v>
      </c>
      <c r="K162" s="6" t="str">
        <v>Retail</v>
      </c>
      <c r="N162" s="6" t="str">
        <v>Jahangir Alam</v>
      </c>
    </row>
    <row r="163" spans="1:14" x14ac:dyDescent="0.25">
      <c r="A163" s="6">
        <v>1044</v>
      </c>
      <c r="B163" s="6" t="str">
        <v>2026-01-08</v>
      </c>
      <c r="C163" s="6" t="str">
        <v>Dhaka</v>
      </c>
      <c r="D163" s="6" t="str">
        <v>Gazipur</v>
      </c>
      <c r="E163" s="6" t="str">
        <v>Telecom</v>
      </c>
      <c r="F163" s="6" t="str">
        <v>Grameenphone SIM</v>
      </c>
      <c r="G163" s="6" t="str">
        <v>Sumaiya Khan</v>
      </c>
      <c r="H163" s="6">
        <v>94</v>
      </c>
      <c r="I163" s="6">
        <v>1560.69</v>
      </c>
      <c r="J163" s="6">
        <v>146704.86000000002</v>
      </c>
      <c r="K163" s="6" t="str">
        <v>Retail</v>
      </c>
      <c r="N163" s="6" t="str">
        <v>Sumaiya Khan</v>
      </c>
    </row>
    <row r="164" spans="1:14" x14ac:dyDescent="0.25">
      <c r="A164" s="6">
        <v>1046</v>
      </c>
      <c r="B164" s="6" t="str">
        <v>2026-02-02</v>
      </c>
      <c r="C164" s="6" t="str">
        <v>Sylhet</v>
      </c>
      <c r="D164" s="6" t="str">
        <v>Sylhet</v>
      </c>
      <c r="E164" s="6" t="str">
        <v>Mobile Banking</v>
      </c>
      <c r="F164" s="6" t="str">
        <v>bKash Agent Kit</v>
      </c>
      <c r="G164" s="6" t="str">
        <v>Shahid Ahmed</v>
      </c>
      <c r="H164" s="6">
        <v>50</v>
      </c>
      <c r="I164" s="6">
        <v>2923.92</v>
      </c>
      <c r="J164" s="6">
        <v>146196</v>
      </c>
      <c r="K164" s="6" t="str">
        <v>Retail</v>
      </c>
      <c r="N164" s="6" t="str">
        <v>Shahid Ahmed</v>
      </c>
    </row>
    <row r="165" spans="1:14" x14ac:dyDescent="0.25">
      <c r="A165" s="6">
        <v>1130</v>
      </c>
      <c r="B165" s="6" t="str">
        <v>2026-01-03</v>
      </c>
      <c r="C165" s="6" t="str">
        <v>Chattogram</v>
      </c>
      <c r="D165" s="6" t="str">
        <v>Chattogram</v>
      </c>
      <c r="E165" s="6" t="str">
        <v>Mobile Banking</v>
      </c>
      <c r="F165" s="6" t="str">
        <v>Nagad POS Device</v>
      </c>
      <c r="G165" s="6" t="str">
        <v>Farzana Akter</v>
      </c>
      <c r="H165" s="6">
        <v>37</v>
      </c>
      <c r="I165" s="6">
        <v>3945.54</v>
      </c>
      <c r="J165" s="6">
        <v>145984.98000000001</v>
      </c>
      <c r="K165" s="6" t="str">
        <v>Corporate</v>
      </c>
      <c r="N165" s="6" t="str">
        <v>Farzana Akter</v>
      </c>
    </row>
    <row r="166" spans="1:14" x14ac:dyDescent="0.25">
      <c r="A166" s="6">
        <v>1112</v>
      </c>
      <c r="B166" s="6" t="str">
        <v>2026-02-05</v>
      </c>
      <c r="C166" s="6" t="str">
        <v>Khulna</v>
      </c>
      <c r="D166" s="6" t="str">
        <v>Khulna</v>
      </c>
      <c r="E166" s="6" t="str">
        <v>Mobile Banking</v>
      </c>
      <c r="F166" s="6" t="str">
        <v>Nagad POS Device</v>
      </c>
      <c r="G166" s="6" t="str">
        <v>Rafiq Islam</v>
      </c>
      <c r="H166" s="6">
        <v>80</v>
      </c>
      <c r="I166" s="6">
        <v>1824.39</v>
      </c>
      <c r="J166" s="6">
        <v>145951.20000000001</v>
      </c>
      <c r="K166" s="6" t="str">
        <v>Retail</v>
      </c>
      <c r="N166" s="6" t="str">
        <v>Rafiq Islam</v>
      </c>
    </row>
    <row r="167" spans="1:14" x14ac:dyDescent="0.25">
      <c r="A167" s="6">
        <v>1062</v>
      </c>
      <c r="B167" s="6" t="str">
        <v>2026-02-28</v>
      </c>
      <c r="C167" s="6" t="str">
        <v>Dhaka</v>
      </c>
      <c r="D167" s="6" t="str">
        <v>Narayanganj</v>
      </c>
      <c r="E167" s="6" t="str">
        <v>Retail Electronics</v>
      </c>
      <c r="F167" s="6" t="str">
        <v>Walton TV</v>
      </c>
      <c r="G167" s="6" t="str">
        <v>Rafiq Islam</v>
      </c>
      <c r="H167" s="6">
        <v>95</v>
      </c>
      <c r="I167" s="6">
        <v>1528.13</v>
      </c>
      <c r="J167" s="6">
        <v>145172.35</v>
      </c>
      <c r="K167" s="6" t="str">
        <v>Wholesale</v>
      </c>
      <c r="N167" s="6" t="str">
        <v>Rafiq Islam</v>
      </c>
    </row>
    <row r="168" spans="1:14" x14ac:dyDescent="0.25">
      <c r="A168" s="6">
        <v>1108</v>
      </c>
      <c r="B168" s="6" t="str">
        <v>2026-03-05</v>
      </c>
      <c r="C168" s="6" t="str">
        <v>Rajshahi</v>
      </c>
      <c r="D168" s="6" t="str">
        <v>Rajshahi</v>
      </c>
      <c r="E168" s="6" t="str">
        <v>FMCG</v>
      </c>
      <c r="F168" s="6" t="str">
        <v>Pran Juice Carton</v>
      </c>
      <c r="G168" s="6" t="str">
        <v>Rafiq Islam</v>
      </c>
      <c r="H168" s="6">
        <v>189</v>
      </c>
      <c r="I168" s="6">
        <v>763.57</v>
      </c>
      <c r="J168" s="6">
        <v>144314.73000000001</v>
      </c>
      <c r="K168" s="6" t="str">
        <v>Retail</v>
      </c>
      <c r="N168" s="6" t="str">
        <v>Rafiq Islam</v>
      </c>
    </row>
    <row r="169" spans="1:14" x14ac:dyDescent="0.25">
      <c r="A169" s="6">
        <v>1065</v>
      </c>
      <c r="B169" s="6" t="str">
        <v>2026-01-15</v>
      </c>
      <c r="C169" s="6" t="str">
        <v>Rajshahi</v>
      </c>
      <c r="D169" s="6" t="str">
        <v>Rajshahi</v>
      </c>
      <c r="E169" s="6" t="str">
        <v>Retail Electronics</v>
      </c>
      <c r="F169" s="6" t="str">
        <v>Walton Fridge</v>
      </c>
      <c r="G169" s="6" t="str">
        <v>Rafiq Islam</v>
      </c>
      <c r="H169" s="6">
        <v>71</v>
      </c>
      <c r="I169" s="6">
        <v>1926.56</v>
      </c>
      <c r="J169" s="6">
        <v>136785.76</v>
      </c>
      <c r="K169" s="6" t="str">
        <v>Wholesale</v>
      </c>
      <c r="N169" s="6" t="str">
        <v>Rafiq Islam</v>
      </c>
    </row>
    <row r="170" spans="1:14" x14ac:dyDescent="0.25">
      <c r="A170" s="6">
        <v>1045</v>
      </c>
      <c r="B170" s="6" t="str">
        <v>2026-03-13</v>
      </c>
      <c r="C170" s="6" t="str">
        <v>Chattogram</v>
      </c>
      <c r="D170" s="6" t="str">
        <v>Cox's Bazar</v>
      </c>
      <c r="E170" s="6" t="str">
        <v>RMG Supplies</v>
      </c>
      <c r="F170" s="6" t="str">
        <v>Sewing Thread Box</v>
      </c>
      <c r="G170" s="6" t="str">
        <v>Nusrat Jahan</v>
      </c>
      <c r="H170" s="6">
        <v>76</v>
      </c>
      <c r="I170" s="6">
        <v>1788.17</v>
      </c>
      <c r="J170" s="6">
        <v>135900.92000000001</v>
      </c>
      <c r="K170" s="6" t="str">
        <v>Corporate</v>
      </c>
      <c r="N170" s="6" t="str">
        <v>Nusrat Jahan</v>
      </c>
    </row>
    <row r="171" spans="1:14" x14ac:dyDescent="0.25">
      <c r="A171" s="6">
        <v>1120</v>
      </c>
      <c r="B171" s="6" t="str">
        <v>2026-02-11</v>
      </c>
      <c r="C171" s="6" t="str">
        <v>Khulna</v>
      </c>
      <c r="D171" s="6" t="str">
        <v>Jessore</v>
      </c>
      <c r="E171" s="6" t="str">
        <v>Mobile Banking</v>
      </c>
      <c r="F171" s="6" t="str">
        <v>Rocket Sim Pack</v>
      </c>
      <c r="G171" s="6" t="str">
        <v>Mitu Rahman</v>
      </c>
      <c r="H171" s="6">
        <v>192</v>
      </c>
      <c r="I171" s="6">
        <v>700.49</v>
      </c>
      <c r="J171" s="6">
        <v>134494.08000000002</v>
      </c>
      <c r="K171" s="6" t="str">
        <v>Corporate</v>
      </c>
      <c r="N171" s="6" t="str">
        <v>Mitu Rahman</v>
      </c>
    </row>
    <row r="172" spans="1:14" x14ac:dyDescent="0.25">
      <c r="A172" s="6">
        <v>1091</v>
      </c>
      <c r="B172" s="6" t="str">
        <v>2026-02-27</v>
      </c>
      <c r="C172" s="6" t="str">
        <v>Sylhet</v>
      </c>
      <c r="D172" s="6" t="str">
        <v>Sylhet</v>
      </c>
      <c r="E172" s="6" t="str">
        <v>Retail Electronics</v>
      </c>
      <c r="F172" s="6" t="str">
        <v>Walton Fridge</v>
      </c>
      <c r="G172" s="6" t="str">
        <v>Farzana Akter</v>
      </c>
      <c r="H172" s="6">
        <v>170</v>
      </c>
      <c r="I172" s="6">
        <v>787.5</v>
      </c>
      <c r="J172" s="6">
        <v>133875</v>
      </c>
      <c r="K172" s="6" t="str">
        <v>Retail</v>
      </c>
      <c r="N172" s="6" t="str">
        <v>Farzana Akter</v>
      </c>
    </row>
    <row r="173" spans="1:14" x14ac:dyDescent="0.25">
      <c r="A173" s="6">
        <v>1143</v>
      </c>
      <c r="B173" s="6" t="str">
        <v>2026-03-08</v>
      </c>
      <c r="C173" s="6" t="str">
        <v>Rajshahi</v>
      </c>
      <c r="D173" s="6" t="str">
        <v>Rajshahi</v>
      </c>
      <c r="E173" s="6" t="str">
        <v>Mobile Banking</v>
      </c>
      <c r="F173" s="6" t="str">
        <v>Nagad POS Device</v>
      </c>
      <c r="G173" s="6" t="str">
        <v>Mitu Rahman</v>
      </c>
      <c r="H173" s="6">
        <v>34</v>
      </c>
      <c r="I173" s="6">
        <v>3824.9</v>
      </c>
      <c r="J173" s="6">
        <v>130046.6</v>
      </c>
      <c r="K173" s="6" t="str">
        <v>Wholesale</v>
      </c>
      <c r="N173" s="6" t="str">
        <v>Mitu Rahman</v>
      </c>
    </row>
    <row r="174" spans="1:14" x14ac:dyDescent="0.25">
      <c r="A174" s="6">
        <v>1033</v>
      </c>
      <c r="B174" s="6" t="str">
        <v>2026-02-15</v>
      </c>
      <c r="C174" s="6" t="str">
        <v>Chattogram</v>
      </c>
      <c r="D174" s="6" t="str">
        <v>Cox's Bazar</v>
      </c>
      <c r="E174" s="6" t="str">
        <v>Telecom</v>
      </c>
      <c r="F174" s="6" t="str">
        <v>Robi Internet Pack</v>
      </c>
      <c r="G174" s="6" t="str">
        <v>Jahangir Alam</v>
      </c>
      <c r="H174" s="6">
        <v>38</v>
      </c>
      <c r="I174" s="6">
        <v>3374.87</v>
      </c>
      <c r="J174" s="6">
        <v>128245.06</v>
      </c>
      <c r="K174" s="6" t="str">
        <v>Wholesale</v>
      </c>
      <c r="N174" s="6" t="str">
        <v>Jahangir Alam</v>
      </c>
    </row>
    <row r="175" spans="1:14" x14ac:dyDescent="0.25">
      <c r="A175" s="6">
        <v>1080</v>
      </c>
      <c r="B175" s="6" t="str">
        <v>2026-02-04</v>
      </c>
      <c r="C175" s="6" t="str">
        <v>Rajshahi</v>
      </c>
      <c r="D175" s="6" t="str">
        <v>Bogura</v>
      </c>
      <c r="E175" s="6" t="str">
        <v>RMG Supplies</v>
      </c>
      <c r="F175" s="6" t="str">
        <v>Sewing Thread Box</v>
      </c>
      <c r="G175" s="6" t="str">
        <v>Farzana Akter</v>
      </c>
      <c r="H175" s="6">
        <v>35</v>
      </c>
      <c r="I175" s="6">
        <v>3620.36</v>
      </c>
      <c r="J175" s="6">
        <v>126712.6</v>
      </c>
      <c r="K175" s="6" t="str">
        <v>Corporate</v>
      </c>
      <c r="N175" s="6" t="str">
        <v>Farzana Akter</v>
      </c>
    </row>
    <row r="176" spans="1:14" x14ac:dyDescent="0.25">
      <c r="A176" s="6">
        <v>1078</v>
      </c>
      <c r="B176" s="6" t="str">
        <v>2026-01-10</v>
      </c>
      <c r="C176" s="6" t="str">
        <v>Rajshahi</v>
      </c>
      <c r="D176" s="6" t="str">
        <v>Bogura</v>
      </c>
      <c r="E176" s="6" t="str">
        <v>Mobile Banking</v>
      </c>
      <c r="F176" s="6" t="str">
        <v>bKash Agent Kit</v>
      </c>
      <c r="G176" s="6" t="str">
        <v>Shahid Ahmed</v>
      </c>
      <c r="H176" s="6">
        <v>61</v>
      </c>
      <c r="I176" s="6">
        <v>2051.79</v>
      </c>
      <c r="J176" s="6">
        <v>125159.19</v>
      </c>
      <c r="K176" s="6" t="str">
        <v>Corporate</v>
      </c>
      <c r="N176" s="6" t="str">
        <v>Shahid Ahmed</v>
      </c>
    </row>
    <row r="177" spans="1:14" x14ac:dyDescent="0.25">
      <c r="A177" s="6">
        <v>1141</v>
      </c>
      <c r="B177" s="6" t="str">
        <v>2026-02-28</v>
      </c>
      <c r="C177" s="6" t="str">
        <v>Chattogram</v>
      </c>
      <c r="D177" s="6" t="str">
        <v>Chattogram</v>
      </c>
      <c r="E177" s="6" t="str">
        <v>FMCG</v>
      </c>
      <c r="F177" s="6" t="str">
        <v>Square Toiletries</v>
      </c>
      <c r="G177" s="6" t="str">
        <v>Mitu Rahman</v>
      </c>
      <c r="H177" s="6">
        <v>176</v>
      </c>
      <c r="I177" s="6">
        <v>655.04</v>
      </c>
      <c r="J177" s="6">
        <v>115287.03999999999</v>
      </c>
      <c r="K177" s="6" t="str">
        <v>Corporate</v>
      </c>
      <c r="N177" s="6" t="str">
        <v>Mitu Rahman</v>
      </c>
    </row>
    <row r="178" spans="1:14" x14ac:dyDescent="0.25">
      <c r="A178" s="6">
        <v>1053</v>
      </c>
      <c r="B178" s="6" t="str">
        <v>2026-01-22</v>
      </c>
      <c r="C178" s="6" t="str">
        <v>Rajshahi</v>
      </c>
      <c r="D178" s="6" t="str">
        <v>Rajshahi</v>
      </c>
      <c r="E178" s="6" t="str">
        <v>Mobile Banking</v>
      </c>
      <c r="F178" s="6" t="str">
        <v>Nagad POS Device</v>
      </c>
      <c r="G178" s="6" t="str">
        <v>Mitu Rahman</v>
      </c>
      <c r="H178" s="6">
        <v>28</v>
      </c>
      <c r="I178" s="6">
        <v>4101.2</v>
      </c>
      <c r="J178" s="6">
        <v>114833.59999999999</v>
      </c>
      <c r="K178" s="6" t="str">
        <v>Wholesale</v>
      </c>
      <c r="N178" s="6" t="str">
        <v>Mitu Rahman</v>
      </c>
    </row>
    <row r="179" spans="1:14" x14ac:dyDescent="0.25">
      <c r="A179" s="6">
        <v>1068</v>
      </c>
      <c r="B179" s="6" t="str">
        <v>2026-01-15</v>
      </c>
      <c r="C179" s="6" t="str">
        <v>Sylhet</v>
      </c>
      <c r="D179" s="6" t="str">
        <v>Sylhet</v>
      </c>
      <c r="E179" s="6" t="str">
        <v>Telecom</v>
      </c>
      <c r="F179" s="6" t="str">
        <v>Grameenphone SIM</v>
      </c>
      <c r="G179" s="6" t="str">
        <v>Sumaiya Khan</v>
      </c>
      <c r="H179" s="6">
        <v>176</v>
      </c>
      <c r="I179" s="6">
        <v>616.23</v>
      </c>
      <c r="J179" s="6">
        <v>108456.48000000001</v>
      </c>
      <c r="K179" s="6" t="str">
        <v>Corporate</v>
      </c>
      <c r="N179" s="6" t="str">
        <v>Sumaiya Khan</v>
      </c>
    </row>
    <row r="180" spans="1:14" x14ac:dyDescent="0.25">
      <c r="A180" s="6">
        <v>1162</v>
      </c>
      <c r="B180" s="6" t="str">
        <v>2026-01-15</v>
      </c>
      <c r="C180" s="6" t="str">
        <v>Sylhet</v>
      </c>
      <c r="D180" s="6" t="str">
        <v>Sylhet</v>
      </c>
      <c r="E180" s="6" t="str">
        <v>RMG Supplies</v>
      </c>
      <c r="F180" s="6" t="str">
        <v>Garment Labels</v>
      </c>
      <c r="G180" s="6" t="str">
        <v>Sumaiya Khan</v>
      </c>
      <c r="H180" s="6">
        <v>133</v>
      </c>
      <c r="I180" s="6">
        <v>796.76</v>
      </c>
      <c r="J180" s="6">
        <v>105969.08</v>
      </c>
      <c r="K180" s="6" t="str">
        <v>Retail</v>
      </c>
      <c r="N180" s="6" t="str">
        <v>Sumaiya Khan</v>
      </c>
    </row>
    <row r="181" spans="1:14" x14ac:dyDescent="0.25">
      <c r="A181" s="6">
        <v>1155</v>
      </c>
      <c r="B181" s="6" t="str">
        <v>2026-01-03</v>
      </c>
      <c r="C181" s="6" t="str">
        <v>Dhaka</v>
      </c>
      <c r="D181" s="6" t="str">
        <v>Gazipur</v>
      </c>
      <c r="E181" s="6" t="str">
        <v>RMG Supplies</v>
      </c>
      <c r="F181" s="6" t="str">
        <v>Garment Labels</v>
      </c>
      <c r="G181" s="6" t="str">
        <v>Mitu Rahman</v>
      </c>
      <c r="H181" s="6">
        <v>61</v>
      </c>
      <c r="I181" s="6">
        <v>1698.69</v>
      </c>
      <c r="J181" s="6">
        <v>103620.09</v>
      </c>
      <c r="K181" s="6" t="str">
        <v>Corporate</v>
      </c>
      <c r="N181" s="6" t="str">
        <v>Mitu Rahman</v>
      </c>
    </row>
    <row r="182" spans="1:14" x14ac:dyDescent="0.25">
      <c r="A182" s="6">
        <v>1126</v>
      </c>
      <c r="B182" s="6" t="str">
        <v>2026-02-12</v>
      </c>
      <c r="C182" s="6" t="str">
        <v>Khulna</v>
      </c>
      <c r="D182" s="6" t="str">
        <v>Jessore</v>
      </c>
      <c r="E182" s="6" t="str">
        <v>Mobile Banking</v>
      </c>
      <c r="F182" s="6" t="str">
        <v>bKash Agent Kit</v>
      </c>
      <c r="G182" s="6" t="str">
        <v>Farzana Akter</v>
      </c>
      <c r="H182" s="6">
        <v>142</v>
      </c>
      <c r="I182" s="6">
        <v>721.54</v>
      </c>
      <c r="J182" s="6">
        <v>102458.68</v>
      </c>
      <c r="K182" s="6" t="str">
        <v>Corporate</v>
      </c>
      <c r="N182" s="6" t="str">
        <v>Farzana Akter</v>
      </c>
    </row>
    <row r="183" spans="1:14" x14ac:dyDescent="0.25">
      <c r="A183" s="6">
        <v>1135</v>
      </c>
      <c r="B183" s="6" t="str">
        <v>2026-02-14</v>
      </c>
      <c r="C183" s="6" t="str">
        <v>Sylhet</v>
      </c>
      <c r="D183" s="6" t="str">
        <v>Sylhet</v>
      </c>
      <c r="E183" s="6" t="str">
        <v>Retail Electronics</v>
      </c>
      <c r="F183" s="6" t="str">
        <v>Singer Blender</v>
      </c>
      <c r="G183" s="6" t="str">
        <v>Rafiq Islam</v>
      </c>
      <c r="H183" s="6">
        <v>20</v>
      </c>
      <c r="I183" s="6">
        <v>4993</v>
      </c>
      <c r="J183" s="6">
        <v>99860</v>
      </c>
      <c r="K183" s="6" t="str">
        <v>Corporate</v>
      </c>
      <c r="N183" s="6" t="str">
        <v>Rafiq Islam</v>
      </c>
    </row>
    <row r="184" spans="1:14" x14ac:dyDescent="0.25">
      <c r="A184" s="6">
        <v>1035</v>
      </c>
      <c r="B184" s="6" t="str">
        <v>2026-03-23</v>
      </c>
      <c r="C184" s="6" t="str">
        <v>Khulna</v>
      </c>
      <c r="D184" s="6" t="str">
        <v>Khulna</v>
      </c>
      <c r="E184" s="6" t="str">
        <v>Telecom</v>
      </c>
      <c r="F184" s="6" t="str">
        <v>Robi Internet Pack</v>
      </c>
      <c r="G184" s="6" t="str">
        <v>Shahid Ahmed</v>
      </c>
      <c r="H184" s="6">
        <v>45</v>
      </c>
      <c r="I184" s="6">
        <v>2219.0100000000002</v>
      </c>
      <c r="J184" s="6">
        <v>99855.450000000012</v>
      </c>
      <c r="K184" s="6" t="str">
        <v>Wholesale</v>
      </c>
      <c r="N184" s="6" t="str">
        <v>Shahid Ahmed</v>
      </c>
    </row>
    <row r="185" spans="1:14" x14ac:dyDescent="0.25">
      <c r="A185" s="6">
        <v>1018</v>
      </c>
      <c r="B185" s="6" t="str">
        <v>2026-01-25</v>
      </c>
      <c r="C185" s="6" t="str">
        <v>Chattogram</v>
      </c>
      <c r="D185" s="6" t="str">
        <v>Chattogram</v>
      </c>
      <c r="E185" s="6" t="str">
        <v>Telecom</v>
      </c>
      <c r="F185" s="6" t="str">
        <v>Banglalink Bundle</v>
      </c>
      <c r="G185" s="6" t="str">
        <v>Nusrat Jahan</v>
      </c>
      <c r="H185" s="6">
        <v>26</v>
      </c>
      <c r="I185" s="6">
        <v>3672.94</v>
      </c>
      <c r="J185" s="6">
        <v>95496.44</v>
      </c>
      <c r="K185" s="6" t="str">
        <v>Corporate</v>
      </c>
      <c r="N185" s="6" t="str">
        <v>Nusrat Jahan</v>
      </c>
    </row>
    <row r="186" spans="1:14" x14ac:dyDescent="0.25">
      <c r="A186" s="6">
        <v>1119</v>
      </c>
      <c r="B186" s="6" t="str">
        <v>2026-03-21</v>
      </c>
      <c r="C186" s="6" t="str">
        <v>Chattogram</v>
      </c>
      <c r="D186" s="6" t="str">
        <v>Chattogram</v>
      </c>
      <c r="E186" s="6" t="str">
        <v>FMCG</v>
      </c>
      <c r="F186" s="6" t="str">
        <v>Pran Juice Carton</v>
      </c>
      <c r="G186" s="6" t="str">
        <v>Kamal Hossain</v>
      </c>
      <c r="H186" s="6">
        <v>165</v>
      </c>
      <c r="I186" s="6">
        <v>530.96</v>
      </c>
      <c r="J186" s="6">
        <v>87608.400000000009</v>
      </c>
      <c r="K186" s="6" t="str">
        <v>Retail</v>
      </c>
      <c r="N186" s="6" t="str">
        <v>Kamal Hossain</v>
      </c>
    </row>
    <row r="187" spans="1:14" x14ac:dyDescent="0.25">
      <c r="A187" s="6">
        <v>1059</v>
      </c>
      <c r="B187" s="6" t="str">
        <v>2026-01-09</v>
      </c>
      <c r="C187" s="6" t="str">
        <v>Khulna</v>
      </c>
      <c r="D187" s="6" t="str">
        <v>Jessore</v>
      </c>
      <c r="E187" s="6" t="str">
        <v>Telecom</v>
      </c>
      <c r="F187" s="6" t="str">
        <v>Robi Internet Pack</v>
      </c>
      <c r="G187" s="6" t="str">
        <v>Sumaiya Khan</v>
      </c>
      <c r="H187" s="6">
        <v>24</v>
      </c>
      <c r="I187" s="6">
        <v>3582.05</v>
      </c>
      <c r="J187" s="6">
        <v>85969.200000000012</v>
      </c>
      <c r="K187" s="6" t="str">
        <v>Wholesale</v>
      </c>
      <c r="N187" s="6" t="str">
        <v>Sumaiya Khan</v>
      </c>
    </row>
    <row r="188" spans="1:14" x14ac:dyDescent="0.25">
      <c r="A188" s="6">
        <v>1165</v>
      </c>
      <c r="B188" s="6" t="str">
        <v>2026-02-10</v>
      </c>
      <c r="C188" s="6" t="str">
        <v>Dhaka</v>
      </c>
      <c r="D188" s="6" t="str">
        <v>Narayanganj</v>
      </c>
      <c r="E188" s="6" t="str">
        <v>RMG Supplies</v>
      </c>
      <c r="F188" s="6" t="str">
        <v>Cotton Fabric Roll</v>
      </c>
      <c r="G188" s="6" t="str">
        <v>Mitu Rahman</v>
      </c>
      <c r="H188" s="6">
        <v>29</v>
      </c>
      <c r="I188" s="6">
        <v>2811.92</v>
      </c>
      <c r="J188" s="6">
        <v>81545.680000000008</v>
      </c>
      <c r="K188" s="6" t="str">
        <v>Wholesale</v>
      </c>
      <c r="N188" s="6" t="str">
        <v>Mitu Rahman</v>
      </c>
    </row>
    <row r="189" spans="1:14" x14ac:dyDescent="0.25">
      <c r="A189" s="6">
        <v>1122</v>
      </c>
      <c r="B189" s="6" t="str">
        <v>2026-01-05</v>
      </c>
      <c r="C189" s="6" t="str">
        <v>Khulna</v>
      </c>
      <c r="D189" s="6" t="str">
        <v>Jessore</v>
      </c>
      <c r="E189" s="6" t="str">
        <v>RMG Supplies</v>
      </c>
      <c r="F189" s="6" t="str">
        <v>Garment Labels</v>
      </c>
      <c r="G189" s="6" t="str">
        <v>Mitu Rahman</v>
      </c>
      <c r="H189" s="6">
        <v>34</v>
      </c>
      <c r="I189" s="6">
        <v>2368.2399999999998</v>
      </c>
      <c r="J189" s="6">
        <v>80520.159999999989</v>
      </c>
      <c r="K189" s="6" t="str">
        <v>Retail</v>
      </c>
      <c r="N189" s="6" t="str">
        <v>Mitu Rahman</v>
      </c>
    </row>
    <row r="190" spans="1:14" x14ac:dyDescent="0.25">
      <c r="A190" s="6">
        <v>1090</v>
      </c>
      <c r="B190" s="6" t="str">
        <v>2026-02-26</v>
      </c>
      <c r="C190" s="6" t="str">
        <v>Chattogram</v>
      </c>
      <c r="D190" s="6" t="str">
        <v>Cox's Bazar</v>
      </c>
      <c r="E190" s="6" t="str">
        <v>RMG Supplies</v>
      </c>
      <c r="F190" s="6" t="str">
        <v>Garment Labels</v>
      </c>
      <c r="G190" s="6" t="str">
        <v>Sumaiya Khan</v>
      </c>
      <c r="H190" s="6">
        <v>23</v>
      </c>
      <c r="I190" s="6">
        <v>3452.56</v>
      </c>
      <c r="J190" s="6">
        <v>79408.88</v>
      </c>
      <c r="K190" s="6" t="str">
        <v>Corporate</v>
      </c>
      <c r="N190" s="6" t="str">
        <v>Sumaiya Khan</v>
      </c>
    </row>
    <row r="191" spans="1:14" x14ac:dyDescent="0.25">
      <c r="A191" s="6">
        <v>1092</v>
      </c>
      <c r="B191" s="6" t="str">
        <v>2026-03-10</v>
      </c>
      <c r="C191" s="6" t="str">
        <v>Dhaka</v>
      </c>
      <c r="D191" s="6" t="str">
        <v>Dhaka</v>
      </c>
      <c r="E191" s="6" t="str">
        <v>Telecom</v>
      </c>
      <c r="F191" s="6" t="str">
        <v>Robi Internet Pack</v>
      </c>
      <c r="G191" s="6" t="str">
        <v>Shahid Ahmed</v>
      </c>
      <c r="H191" s="6">
        <v>117</v>
      </c>
      <c r="I191" s="6">
        <v>665.55</v>
      </c>
      <c r="J191" s="6">
        <v>77869.349999999991</v>
      </c>
      <c r="K191" s="6" t="str">
        <v>Corporate</v>
      </c>
      <c r="N191" s="6" t="str">
        <v>Shahid Ahmed</v>
      </c>
    </row>
    <row r="192" spans="1:14" x14ac:dyDescent="0.25">
      <c r="A192" s="6">
        <v>1082</v>
      </c>
      <c r="B192" s="6" t="str">
        <v>2026-03-18</v>
      </c>
      <c r="C192" s="6" t="str">
        <v>Dhaka</v>
      </c>
      <c r="D192" s="6" t="str">
        <v>Dhaka</v>
      </c>
      <c r="E192" s="6" t="str">
        <v>RMG Supplies</v>
      </c>
      <c r="F192" s="6" t="str">
        <v>Cotton Fabric Roll</v>
      </c>
      <c r="G192" s="6" t="str">
        <v>Mitu Rahman</v>
      </c>
      <c r="H192" s="6">
        <v>50</v>
      </c>
      <c r="I192" s="6">
        <v>1546.22</v>
      </c>
      <c r="J192" s="6">
        <v>77311</v>
      </c>
      <c r="K192" s="6" t="str">
        <v>Retail</v>
      </c>
      <c r="N192" s="6" t="str">
        <v>Mitu Rahman</v>
      </c>
    </row>
    <row r="193" spans="1:14" x14ac:dyDescent="0.25">
      <c r="A193" s="6">
        <v>1109</v>
      </c>
      <c r="B193" s="6" t="str">
        <v>2026-02-28</v>
      </c>
      <c r="C193" s="6" t="str">
        <v>Rajshahi</v>
      </c>
      <c r="D193" s="6" t="str">
        <v>Bogura</v>
      </c>
      <c r="E193" s="6" t="str">
        <v>RMG Supplies</v>
      </c>
      <c r="F193" s="6" t="str">
        <v>Garment Labels</v>
      </c>
      <c r="G193" s="6" t="str">
        <v>Jahangir Alam</v>
      </c>
      <c r="H193" s="6">
        <v>171</v>
      </c>
      <c r="I193" s="6">
        <v>447.56</v>
      </c>
      <c r="J193" s="6">
        <v>76532.759999999995</v>
      </c>
      <c r="K193" s="6" t="str">
        <v>Corporate</v>
      </c>
      <c r="N193" s="6" t="str">
        <v>Jahangir Alam</v>
      </c>
    </row>
    <row r="194" spans="1:14" x14ac:dyDescent="0.25">
      <c r="A194" s="6">
        <v>1006</v>
      </c>
      <c r="B194" s="6" t="str">
        <v>2026-03-08</v>
      </c>
      <c r="C194" s="6" t="str">
        <v>Sylhet</v>
      </c>
      <c r="D194" s="6" t="str">
        <v>Sylhet</v>
      </c>
      <c r="E194" s="6" t="str">
        <v>FMCG</v>
      </c>
      <c r="F194" s="6" t="str">
        <v>Pran Juice Carton</v>
      </c>
      <c r="G194" s="6" t="str">
        <v>Farzana Akter</v>
      </c>
      <c r="H194" s="6">
        <v>185</v>
      </c>
      <c r="I194" s="6">
        <v>394.3</v>
      </c>
      <c r="J194" s="6">
        <v>72945.5</v>
      </c>
      <c r="K194" s="6" t="str">
        <v>Wholesale</v>
      </c>
      <c r="N194" s="6" t="str">
        <v>Farzana Akter</v>
      </c>
    </row>
    <row r="195" spans="1:14" x14ac:dyDescent="0.25">
      <c r="A195" s="6">
        <v>1095</v>
      </c>
      <c r="B195" s="6" t="str">
        <v>2026-03-14</v>
      </c>
      <c r="C195" s="6" t="str">
        <v>Khulna</v>
      </c>
      <c r="D195" s="6" t="str">
        <v>Khulna</v>
      </c>
      <c r="E195" s="6" t="str">
        <v>Telecom</v>
      </c>
      <c r="F195" s="6" t="str">
        <v>Robi Internet Pack</v>
      </c>
      <c r="G195" s="6" t="str">
        <v>Sumaiya Khan</v>
      </c>
      <c r="H195" s="6">
        <v>76</v>
      </c>
      <c r="I195" s="6">
        <v>948.37</v>
      </c>
      <c r="J195" s="6">
        <v>72076.12</v>
      </c>
      <c r="K195" s="6" t="str">
        <v>Corporate</v>
      </c>
      <c r="N195" s="6" t="str">
        <v>Sumaiya Khan</v>
      </c>
    </row>
    <row r="196" spans="1:14" x14ac:dyDescent="0.25">
      <c r="A196" s="6">
        <v>1070</v>
      </c>
      <c r="B196" s="6" t="str">
        <v>2026-03-08</v>
      </c>
      <c r="C196" s="6" t="str">
        <v>Khulna</v>
      </c>
      <c r="D196" s="6" t="str">
        <v>Jessore</v>
      </c>
      <c r="E196" s="6" t="str">
        <v>Retail Electronics</v>
      </c>
      <c r="F196" s="6" t="str">
        <v>Singer Blender</v>
      </c>
      <c r="G196" s="6" t="str">
        <v>Farzana Akter</v>
      </c>
      <c r="H196" s="6">
        <v>24</v>
      </c>
      <c r="I196" s="6">
        <v>2980.88</v>
      </c>
      <c r="J196" s="6">
        <v>71541.119999999995</v>
      </c>
      <c r="K196" s="6" t="str">
        <v>Retail</v>
      </c>
      <c r="N196" s="6" t="str">
        <v>Farzana Akter</v>
      </c>
    </row>
    <row r="197" spans="1:14" x14ac:dyDescent="0.25">
      <c r="A197" s="6">
        <v>1085</v>
      </c>
      <c r="B197" s="6" t="str">
        <v>2026-03-02</v>
      </c>
      <c r="C197" s="6" t="str">
        <v>Rajshahi</v>
      </c>
      <c r="D197" s="6" t="str">
        <v>Rajshahi</v>
      </c>
      <c r="E197" s="6" t="str">
        <v>Mobile Banking</v>
      </c>
      <c r="F197" s="6" t="str">
        <v>Nagad POS Device</v>
      </c>
      <c r="G197" s="6" t="str">
        <v>Sumaiya Khan</v>
      </c>
      <c r="H197" s="6">
        <v>23</v>
      </c>
      <c r="I197" s="6">
        <v>2906.25</v>
      </c>
      <c r="J197" s="6">
        <v>66843.75</v>
      </c>
      <c r="K197" s="6" t="str">
        <v>Retail</v>
      </c>
      <c r="N197" s="6" t="str">
        <v>Sumaiya Khan</v>
      </c>
    </row>
    <row r="198" spans="1:14" x14ac:dyDescent="0.25">
      <c r="A198" s="6">
        <v>1034</v>
      </c>
      <c r="B198" s="6" t="str">
        <v>2026-03-09</v>
      </c>
      <c r="C198" s="6" t="str">
        <v>Dhaka</v>
      </c>
      <c r="D198" s="6" t="str">
        <v>Dhaka</v>
      </c>
      <c r="E198" s="6" t="str">
        <v>Retail Electronics</v>
      </c>
      <c r="F198" s="6" t="str">
        <v>Singer Blender</v>
      </c>
      <c r="G198" s="6" t="str">
        <v>Nusrat Jahan</v>
      </c>
      <c r="H198" s="6">
        <v>23</v>
      </c>
      <c r="I198" s="6">
        <v>2711.29</v>
      </c>
      <c r="J198" s="6">
        <v>62359.67</v>
      </c>
      <c r="K198" s="6" t="str">
        <v>Retail</v>
      </c>
      <c r="N198" s="6" t="str">
        <v>Nusrat Jahan</v>
      </c>
    </row>
    <row r="199" spans="1:14" x14ac:dyDescent="0.25">
      <c r="A199" s="6">
        <v>1140</v>
      </c>
      <c r="B199" s="6" t="str">
        <v>2026-03-24</v>
      </c>
      <c r="C199" s="6" t="str">
        <v>Chattogram</v>
      </c>
      <c r="D199" s="6" t="str">
        <v>Cox's Bazar</v>
      </c>
      <c r="E199" s="6" t="str">
        <v>Mobile Banking</v>
      </c>
      <c r="F199" s="6" t="str">
        <v>bKash Agent Kit</v>
      </c>
      <c r="G199" s="6" t="str">
        <v>Nusrat Jahan</v>
      </c>
      <c r="H199" s="6">
        <v>28</v>
      </c>
      <c r="I199" s="6">
        <v>2187.79</v>
      </c>
      <c r="J199" s="6">
        <v>61258.119999999995</v>
      </c>
      <c r="K199" s="6" t="str">
        <v>Wholesale</v>
      </c>
      <c r="N199" s="6" t="str">
        <v>Nusrat Jahan</v>
      </c>
    </row>
    <row r="200" spans="1:14" x14ac:dyDescent="0.25">
      <c r="A200" s="6">
        <v>1043</v>
      </c>
      <c r="B200" s="6" t="str">
        <v>2026-03-04</v>
      </c>
      <c r="C200" s="6" t="str">
        <v>Chattogram</v>
      </c>
      <c r="D200" s="6" t="str">
        <v>Cox's Bazar</v>
      </c>
      <c r="E200" s="6" t="str">
        <v>Retail Electronics</v>
      </c>
      <c r="F200" s="6" t="str">
        <v>Singer Blender</v>
      </c>
      <c r="G200" s="6" t="str">
        <v>Farzana Akter</v>
      </c>
      <c r="H200" s="6">
        <v>73</v>
      </c>
      <c r="I200" s="6">
        <v>838.03</v>
      </c>
      <c r="J200" s="6">
        <v>61176.189999999995</v>
      </c>
      <c r="K200" s="6" t="str">
        <v>Wholesale</v>
      </c>
      <c r="N200" s="6" t="str">
        <v>Farzana Akter</v>
      </c>
    </row>
    <row r="201" spans="1:14" x14ac:dyDescent="0.25">
      <c r="A201" s="6">
        <v>1099</v>
      </c>
      <c r="B201" s="6" t="str">
        <v>2026-02-18</v>
      </c>
      <c r="C201" s="6" t="str">
        <v>Chattogram</v>
      </c>
      <c r="D201" s="6" t="str">
        <v>Cox's Bazar</v>
      </c>
      <c r="E201" s="6" t="str">
        <v>FMCG</v>
      </c>
      <c r="F201" s="6" t="str">
        <v>Pran Juice Carton</v>
      </c>
      <c r="G201" s="6" t="str">
        <v>Sumaiya Khan</v>
      </c>
      <c r="H201" s="6">
        <v>199</v>
      </c>
      <c r="I201" s="6">
        <v>305.48</v>
      </c>
      <c r="J201" s="6">
        <v>60790.520000000004</v>
      </c>
      <c r="K201" s="6" t="str">
        <v>Retail</v>
      </c>
      <c r="N201" s="6" t="str">
        <v>Sumaiya Khan</v>
      </c>
    </row>
    <row r="202" spans="1:14" x14ac:dyDescent="0.25">
      <c r="A202" s="6">
        <v>1022</v>
      </c>
      <c r="B202" s="6" t="str">
        <v>2026-02-22</v>
      </c>
      <c r="C202" s="6" t="str">
        <v>Dhaka</v>
      </c>
      <c r="D202" s="6" t="str">
        <v>Dhaka</v>
      </c>
      <c r="E202" s="6" t="str">
        <v>Mobile Banking</v>
      </c>
      <c r="F202" s="6" t="str">
        <v>bKash Agent Kit</v>
      </c>
      <c r="G202" s="6" t="str">
        <v>Mitu Rahman</v>
      </c>
      <c r="H202" s="6">
        <v>23</v>
      </c>
      <c r="I202" s="6">
        <v>2595.0700000000002</v>
      </c>
      <c r="J202" s="6">
        <v>59686.61</v>
      </c>
      <c r="K202" s="6" t="str">
        <v>Wholesale</v>
      </c>
      <c r="N202" s="6" t="str">
        <v>Mitu Rahman</v>
      </c>
    </row>
    <row r="203" spans="1:14" x14ac:dyDescent="0.25">
      <c r="A203" s="6">
        <v>1066</v>
      </c>
      <c r="B203" s="6" t="str">
        <v>2026-03-18</v>
      </c>
      <c r="C203" s="6" t="str">
        <v>Khulna</v>
      </c>
      <c r="D203" s="6" t="str">
        <v>Jessore</v>
      </c>
      <c r="E203" s="6" t="str">
        <v>RMG Supplies</v>
      </c>
      <c r="F203" s="6" t="str">
        <v>Sewing Thread Box</v>
      </c>
      <c r="G203" s="6" t="str">
        <v>Shahid Ahmed</v>
      </c>
      <c r="H203" s="6">
        <v>25</v>
      </c>
      <c r="I203" s="6">
        <v>2378.02</v>
      </c>
      <c r="J203" s="6">
        <v>59450.5</v>
      </c>
      <c r="K203" s="6" t="str">
        <v>Retail</v>
      </c>
      <c r="N203" s="6" t="str">
        <v>Shahid Ahmed</v>
      </c>
    </row>
    <row r="204" spans="1:14" x14ac:dyDescent="0.25">
      <c r="A204" s="6">
        <v>1180</v>
      </c>
      <c r="B204" s="6" t="str">
        <v>2026-01-14</v>
      </c>
      <c r="C204" s="6" t="str">
        <v>Sylhet</v>
      </c>
      <c r="D204" s="6" t="str">
        <v>Sylhet</v>
      </c>
      <c r="E204" s="6" t="str">
        <v>Mobile Banking</v>
      </c>
      <c r="F204" s="6" t="str">
        <v>Nagad POS Device</v>
      </c>
      <c r="G204" s="6" t="str">
        <v>Farzana Akter</v>
      </c>
      <c r="H204" s="6">
        <v>82</v>
      </c>
      <c r="I204" s="6">
        <v>653.15</v>
      </c>
      <c r="J204" s="6">
        <v>53558.299999999996</v>
      </c>
      <c r="K204" s="6" t="str">
        <v>Corporate</v>
      </c>
      <c r="N204" s="6" t="str">
        <v>Farzana Akter</v>
      </c>
    </row>
    <row r="205" spans="1:14" x14ac:dyDescent="0.25">
      <c r="A205" s="6">
        <v>1142</v>
      </c>
      <c r="B205" s="6" t="str">
        <v>2026-03-07</v>
      </c>
      <c r="C205" s="6" t="str">
        <v>Rajshahi</v>
      </c>
      <c r="D205" s="6" t="str">
        <v>Rajshahi</v>
      </c>
      <c r="E205" s="6" t="str">
        <v>RMG Supplies</v>
      </c>
      <c r="F205" s="6" t="str">
        <v>Garment Labels</v>
      </c>
      <c r="G205" s="6" t="str">
        <v>Shahid Ahmed</v>
      </c>
      <c r="H205" s="6">
        <v>95</v>
      </c>
      <c r="I205" s="6">
        <v>562.82000000000005</v>
      </c>
      <c r="J205" s="6">
        <v>53467.9</v>
      </c>
      <c r="K205" s="6" t="str">
        <v>Retail</v>
      </c>
      <c r="N205" s="6" t="str">
        <v>Shahid Ahmed</v>
      </c>
    </row>
    <row r="206" spans="1:14" x14ac:dyDescent="0.25">
      <c r="A206" s="6">
        <v>1036</v>
      </c>
      <c r="B206" s="6" t="str">
        <v>2026-01-24</v>
      </c>
      <c r="C206" s="6" t="str">
        <v>Sylhet</v>
      </c>
      <c r="D206" s="6" t="str">
        <v>Sylhet</v>
      </c>
      <c r="E206" s="6" t="str">
        <v>FMCG</v>
      </c>
      <c r="F206" s="6" t="str">
        <v>Pran Juice Carton</v>
      </c>
      <c r="G206" s="6" t="str">
        <v>Nusrat Jahan</v>
      </c>
      <c r="H206" s="6">
        <v>39</v>
      </c>
      <c r="I206" s="6">
        <v>1359.11</v>
      </c>
      <c r="J206" s="6">
        <v>53005.289999999994</v>
      </c>
      <c r="K206" s="6" t="str">
        <v>Corporate</v>
      </c>
      <c r="N206" s="6" t="str">
        <v>Nusrat Jahan</v>
      </c>
    </row>
    <row r="207" spans="1:14" x14ac:dyDescent="0.25">
      <c r="A207" s="6">
        <v>1093</v>
      </c>
      <c r="B207" s="6" t="str">
        <v>2026-01-14</v>
      </c>
      <c r="C207" s="6" t="str">
        <v>Rajshahi</v>
      </c>
      <c r="D207" s="6" t="str">
        <v>Bogura</v>
      </c>
      <c r="E207" s="6" t="str">
        <v>FMCG</v>
      </c>
      <c r="F207" s="6" t="str">
        <v>Square Toiletries</v>
      </c>
      <c r="G207" s="6" t="str">
        <v>Sumaiya Khan</v>
      </c>
      <c r="H207" s="6">
        <v>117</v>
      </c>
      <c r="I207" s="6">
        <v>448.19</v>
      </c>
      <c r="J207" s="6">
        <v>52438.23</v>
      </c>
      <c r="K207" s="6" t="str">
        <v>Corporate</v>
      </c>
      <c r="N207" s="6" t="str">
        <v>Sumaiya Khan</v>
      </c>
    </row>
    <row r="208" spans="1:14" x14ac:dyDescent="0.25">
      <c r="A208" s="6">
        <v>1159</v>
      </c>
      <c r="B208" s="6" t="str">
        <v>2026-03-10</v>
      </c>
      <c r="C208" s="6" t="str">
        <v>Sylhet</v>
      </c>
      <c r="D208" s="6" t="str">
        <v>Sylhet</v>
      </c>
      <c r="E208" s="6" t="str">
        <v>RMG Supplies</v>
      </c>
      <c r="F208" s="6" t="str">
        <v>Cotton Fabric Roll</v>
      </c>
      <c r="G208" s="6" t="str">
        <v>Sumaiya Khan</v>
      </c>
      <c r="H208" s="6">
        <v>22</v>
      </c>
      <c r="I208" s="6">
        <v>2371.16</v>
      </c>
      <c r="J208" s="6">
        <v>52165.52</v>
      </c>
      <c r="K208" s="6" t="str">
        <v>Wholesale</v>
      </c>
      <c r="N208" s="6" t="str">
        <v>Sumaiya Khan</v>
      </c>
    </row>
    <row r="209" spans="1:14" x14ac:dyDescent="0.25">
      <c r="A209" s="6">
        <v>1115</v>
      </c>
      <c r="B209" s="6" t="str">
        <v>2026-02-19</v>
      </c>
      <c r="C209" s="6" t="str">
        <v>Dhaka</v>
      </c>
      <c r="D209" s="6" t="str">
        <v>Gazipur</v>
      </c>
      <c r="E209" s="6" t="str">
        <v>RMG Supplies</v>
      </c>
      <c r="F209" s="6" t="str">
        <v>Garment Labels</v>
      </c>
      <c r="G209" s="6" t="str">
        <v>Kamal Hossain</v>
      </c>
      <c r="H209" s="6">
        <v>23</v>
      </c>
      <c r="I209" s="6">
        <v>2236.56</v>
      </c>
      <c r="J209" s="6">
        <v>51440.88</v>
      </c>
      <c r="K209" s="6" t="str">
        <v>Wholesale</v>
      </c>
      <c r="N209" s="6" t="str">
        <v>Kamal Hossain</v>
      </c>
    </row>
    <row r="210" spans="1:14" x14ac:dyDescent="0.25">
      <c r="A210" s="6">
        <v>1011</v>
      </c>
      <c r="B210" s="6" t="str">
        <v>2026-03-18</v>
      </c>
      <c r="C210" s="6" t="str">
        <v>Rajshahi</v>
      </c>
      <c r="D210" s="6" t="str">
        <v>Bogura</v>
      </c>
      <c r="E210" s="6" t="str">
        <v>Retail Electronics</v>
      </c>
      <c r="F210" s="6" t="str">
        <v>Walton Fridge</v>
      </c>
      <c r="G210" s="6" t="str">
        <v>Shahid Ahmed</v>
      </c>
      <c r="H210" s="6">
        <v>40</v>
      </c>
      <c r="I210" s="6">
        <v>1270.81</v>
      </c>
      <c r="J210" s="6">
        <v>50832.399999999994</v>
      </c>
      <c r="K210" s="6" t="str">
        <v>Wholesale</v>
      </c>
      <c r="N210" s="6" t="str">
        <v>Shahid Ahmed</v>
      </c>
    </row>
    <row r="211" spans="1:14" x14ac:dyDescent="0.25">
      <c r="A211" s="6">
        <v>1153</v>
      </c>
      <c r="B211" s="6" t="str">
        <v>2026-01-11</v>
      </c>
      <c r="C211" s="6" t="str">
        <v>Sylhet</v>
      </c>
      <c r="D211" s="6" t="str">
        <v>Sylhet</v>
      </c>
      <c r="E211" s="6" t="str">
        <v>FMCG</v>
      </c>
      <c r="F211" s="6" t="str">
        <v>Pran Juice Carton</v>
      </c>
      <c r="G211" s="6" t="str">
        <v>Jahangir Alam</v>
      </c>
      <c r="H211" s="6">
        <v>79</v>
      </c>
      <c r="I211" s="6">
        <v>620.11</v>
      </c>
      <c r="J211" s="6">
        <v>48988.69</v>
      </c>
      <c r="K211" s="6" t="str">
        <v>Retail</v>
      </c>
      <c r="N211" s="6" t="str">
        <v>Jahangir Alam</v>
      </c>
    </row>
    <row r="212" spans="1:14" x14ac:dyDescent="0.25">
      <c r="A212" s="6">
        <v>1117</v>
      </c>
      <c r="B212" s="6" t="str">
        <v>2026-03-13</v>
      </c>
      <c r="C212" s="6" t="str">
        <v>Sylhet</v>
      </c>
      <c r="D212" s="6" t="str">
        <v>Sylhet</v>
      </c>
      <c r="E212" s="6" t="str">
        <v>FMCG</v>
      </c>
      <c r="F212" s="6" t="str">
        <v>Pran Juice Carton</v>
      </c>
      <c r="G212" s="6" t="str">
        <v>Shahid Ahmed</v>
      </c>
      <c r="H212" s="6">
        <v>10</v>
      </c>
      <c r="I212" s="6">
        <v>4890.83</v>
      </c>
      <c r="J212" s="6">
        <v>48908.3</v>
      </c>
      <c r="K212" s="6" t="str">
        <v>Wholesale</v>
      </c>
      <c r="N212" s="6" t="str">
        <v>Shahid Ahmed</v>
      </c>
    </row>
    <row r="213" spans="1:14" x14ac:dyDescent="0.25">
      <c r="A213" s="6">
        <v>1113</v>
      </c>
      <c r="B213" s="6" t="str">
        <v>2026-03-28</v>
      </c>
      <c r="C213" s="6" t="str">
        <v>Sylhet</v>
      </c>
      <c r="D213" s="6" t="str">
        <v>Sylhet</v>
      </c>
      <c r="E213" s="6" t="str">
        <v>FMCG</v>
      </c>
      <c r="F213" s="6" t="str">
        <v>Square Toiletries</v>
      </c>
      <c r="G213" s="6" t="str">
        <v>Kamal Hossain</v>
      </c>
      <c r="H213" s="6">
        <v>48</v>
      </c>
      <c r="I213" s="6">
        <v>916.59</v>
      </c>
      <c r="J213" s="6">
        <v>43996.32</v>
      </c>
      <c r="K213" s="6" t="str">
        <v>Wholesale</v>
      </c>
      <c r="N213" s="6" t="str">
        <v>Kamal Hossain</v>
      </c>
    </row>
    <row r="214" spans="1:14" x14ac:dyDescent="0.25">
      <c r="A214" s="6">
        <v>1029</v>
      </c>
      <c r="B214" s="6" t="str">
        <v>2026-01-02</v>
      </c>
      <c r="C214" s="6" t="str">
        <v>Khulna</v>
      </c>
      <c r="D214" s="6" t="str">
        <v>Jessore</v>
      </c>
      <c r="E214" s="6" t="str">
        <v>FMCG</v>
      </c>
      <c r="F214" s="6" t="str">
        <v>Square Toiletries</v>
      </c>
      <c r="G214" s="6" t="str">
        <v>Sumaiya Khan</v>
      </c>
      <c r="H214" s="6">
        <v>44</v>
      </c>
      <c r="I214" s="6">
        <v>989.99</v>
      </c>
      <c r="J214" s="6">
        <v>43559.56</v>
      </c>
      <c r="K214" s="6" t="str">
        <v>Corporate</v>
      </c>
      <c r="N214" s="6" t="str">
        <v>Sumaiya Khan</v>
      </c>
    </row>
    <row r="215" spans="1:14" x14ac:dyDescent="0.25">
      <c r="A215" s="6">
        <v>1025</v>
      </c>
      <c r="B215" s="6" t="str">
        <v>2026-01-18</v>
      </c>
      <c r="C215" s="6" t="str">
        <v>Dhaka</v>
      </c>
      <c r="D215" s="6" t="str">
        <v>Dhaka</v>
      </c>
      <c r="E215" s="6" t="str">
        <v>Retail Electronics</v>
      </c>
      <c r="F215" s="6" t="str">
        <v>Singer Blender</v>
      </c>
      <c r="G215" s="6" t="str">
        <v>Mitu Rahman</v>
      </c>
      <c r="H215" s="6">
        <v>32</v>
      </c>
      <c r="I215" s="6">
        <v>1280.8499999999999</v>
      </c>
      <c r="J215" s="6">
        <v>40987.199999999997</v>
      </c>
      <c r="K215" s="6" t="str">
        <v>Wholesale</v>
      </c>
      <c r="N215" s="6" t="str">
        <v>Mitu Rahman</v>
      </c>
    </row>
    <row r="216" spans="1:14" x14ac:dyDescent="0.25">
      <c r="A216" s="6">
        <v>1067</v>
      </c>
      <c r="B216" s="6" t="str">
        <v>2026-01-07</v>
      </c>
      <c r="C216" s="6" t="str">
        <v>Khulna</v>
      </c>
      <c r="D216" s="6" t="str">
        <v>Khulna</v>
      </c>
      <c r="E216" s="6" t="str">
        <v>Mobile Banking</v>
      </c>
      <c r="F216" s="6" t="str">
        <v>Rocket Sim Pack</v>
      </c>
      <c r="G216" s="6" t="str">
        <v>Rafiq Islam</v>
      </c>
      <c r="H216" s="6">
        <v>198</v>
      </c>
      <c r="I216" s="6">
        <v>203.6</v>
      </c>
      <c r="J216" s="6">
        <v>40312.799999999996</v>
      </c>
      <c r="K216" s="6" t="str">
        <v>Retail</v>
      </c>
      <c r="N216" s="6" t="str">
        <v>Rafiq Islam</v>
      </c>
    </row>
    <row r="217" spans="1:14" x14ac:dyDescent="0.25">
      <c r="A217" s="6">
        <v>1154</v>
      </c>
      <c r="B217" s="6" t="str">
        <v>2026-03-13</v>
      </c>
      <c r="C217" s="6" t="str">
        <v>Sylhet</v>
      </c>
      <c r="D217" s="6" t="str">
        <v>Sylhet</v>
      </c>
      <c r="E217" s="6" t="str">
        <v>RMG Supplies</v>
      </c>
      <c r="F217" s="6" t="str">
        <v>Cotton Fabric Roll</v>
      </c>
      <c r="G217" s="6" t="str">
        <v>Jahangir Alam</v>
      </c>
      <c r="H217" s="6">
        <v>32</v>
      </c>
      <c r="I217" s="6">
        <v>1254.42</v>
      </c>
      <c r="J217" s="6">
        <v>40141.440000000002</v>
      </c>
      <c r="K217" s="6" t="str">
        <v>Corporate</v>
      </c>
      <c r="N217" s="6" t="str">
        <v>Jahangir Alam</v>
      </c>
    </row>
    <row r="218" spans="1:14" x14ac:dyDescent="0.25">
      <c r="A218" s="6">
        <v>1061</v>
      </c>
      <c r="B218" s="6" t="str">
        <v>2026-02-13</v>
      </c>
      <c r="C218" s="6" t="str">
        <v>Rajshahi</v>
      </c>
      <c r="D218" s="6" t="str">
        <v>Bogura</v>
      </c>
      <c r="E218" s="6" t="str">
        <v>RMG Supplies</v>
      </c>
      <c r="F218" s="6" t="str">
        <v>Garment Labels</v>
      </c>
      <c r="G218" s="6" t="str">
        <v>Sumaiya Khan</v>
      </c>
      <c r="H218" s="6">
        <v>111</v>
      </c>
      <c r="I218" s="6">
        <v>358.22</v>
      </c>
      <c r="J218" s="6">
        <v>39762.420000000006</v>
      </c>
      <c r="K218" s="6" t="str">
        <v>Corporate</v>
      </c>
      <c r="N218" s="6" t="str">
        <v>Sumaiya Khan</v>
      </c>
    </row>
    <row r="219" spans="1:14" x14ac:dyDescent="0.25">
      <c r="A219" s="6">
        <v>1169</v>
      </c>
      <c r="B219" s="6" t="str">
        <v>2026-01-17</v>
      </c>
      <c r="C219" s="6" t="str">
        <v>Rajshahi</v>
      </c>
      <c r="D219" s="6" t="str">
        <v>Rajshahi</v>
      </c>
      <c r="E219" s="6" t="str">
        <v>Telecom</v>
      </c>
      <c r="F219" s="6" t="str">
        <v>Grameenphone SIM</v>
      </c>
      <c r="G219" s="6" t="str">
        <v>Kamal Hossain</v>
      </c>
      <c r="H219" s="6">
        <v>24</v>
      </c>
      <c r="I219" s="6">
        <v>1514.17</v>
      </c>
      <c r="J219" s="6">
        <v>36340.080000000002</v>
      </c>
      <c r="K219" s="6" t="str">
        <v>Corporate</v>
      </c>
      <c r="N219" s="6" t="str">
        <v>Kamal Hossain</v>
      </c>
    </row>
    <row r="220" spans="1:14" x14ac:dyDescent="0.25">
      <c r="A220" s="6">
        <v>1176</v>
      </c>
      <c r="B220" s="6" t="str">
        <v>2026-03-12</v>
      </c>
      <c r="C220" s="6" t="str">
        <v>Dhaka</v>
      </c>
      <c r="D220" s="6" t="str">
        <v>Dhaka</v>
      </c>
      <c r="E220" s="6" t="str">
        <v>Retail Electronics</v>
      </c>
      <c r="F220" s="6" t="str">
        <v>Walton TV</v>
      </c>
      <c r="G220" s="6" t="str">
        <v>Rafiq Islam</v>
      </c>
      <c r="H220" s="6">
        <v>111</v>
      </c>
      <c r="I220" s="6">
        <v>313.62</v>
      </c>
      <c r="J220" s="6">
        <v>34811.82</v>
      </c>
      <c r="K220" s="6" t="str">
        <v>Retail</v>
      </c>
      <c r="N220" s="6" t="str">
        <v>Rafiq Islam</v>
      </c>
    </row>
    <row r="221" spans="1:14" x14ac:dyDescent="0.25">
      <c r="A221" s="6">
        <v>1151</v>
      </c>
      <c r="B221" s="6" t="str">
        <v>2026-03-23</v>
      </c>
      <c r="C221" s="6" t="str">
        <v>Dhaka</v>
      </c>
      <c r="D221" s="6" t="str">
        <v>Dhaka</v>
      </c>
      <c r="E221" s="6" t="str">
        <v>Retail Electronics</v>
      </c>
      <c r="F221" s="6" t="str">
        <v>Singer Blender</v>
      </c>
      <c r="G221" s="6" t="str">
        <v>Jahangir Alam</v>
      </c>
      <c r="H221" s="6">
        <v>49</v>
      </c>
      <c r="I221" s="6">
        <v>689.47</v>
      </c>
      <c r="J221" s="6">
        <v>33784.03</v>
      </c>
      <c r="K221" s="6" t="str">
        <v>Retail</v>
      </c>
      <c r="N221" s="6" t="str">
        <v>Jahangir Alam</v>
      </c>
    </row>
    <row r="222" spans="1:14" x14ac:dyDescent="0.25">
      <c r="A222" s="6">
        <v>1110</v>
      </c>
      <c r="B222" s="6" t="str">
        <v>2026-01-08</v>
      </c>
      <c r="C222" s="6" t="str">
        <v>Sylhet</v>
      </c>
      <c r="D222" s="6" t="str">
        <v>Sylhet</v>
      </c>
      <c r="E222" s="6" t="str">
        <v>RMG Supplies</v>
      </c>
      <c r="F222" s="6" t="str">
        <v>Garment Labels</v>
      </c>
      <c r="G222" s="6" t="str">
        <v>Sumaiya Khan</v>
      </c>
      <c r="H222" s="6">
        <v>143</v>
      </c>
      <c r="I222" s="6">
        <v>227.7</v>
      </c>
      <c r="J222" s="6">
        <v>32561.1</v>
      </c>
      <c r="K222" s="6" t="str">
        <v>Corporate</v>
      </c>
      <c r="N222" s="6" t="str">
        <v>Sumaiya Khan</v>
      </c>
    </row>
    <row r="223" spans="1:14" x14ac:dyDescent="0.25">
      <c r="A223" s="6">
        <v>1002</v>
      </c>
      <c r="B223" s="6" t="str">
        <v>2026-03-20</v>
      </c>
      <c r="C223" s="6" t="str">
        <v>Dhaka</v>
      </c>
      <c r="D223" s="6" t="str">
        <v>Narayanganj</v>
      </c>
      <c r="E223" s="6" t="str">
        <v>Retail Electronics</v>
      </c>
      <c r="F223" s="6" t="str">
        <v>Walton Fridge</v>
      </c>
      <c r="G223" s="6" t="str">
        <v>Rafiq Islam</v>
      </c>
      <c r="H223" s="6">
        <v>28</v>
      </c>
      <c r="I223" s="6">
        <v>1132.26</v>
      </c>
      <c r="J223" s="6">
        <v>31703.279999999999</v>
      </c>
      <c r="K223" s="6" t="str">
        <v>Retail</v>
      </c>
      <c r="N223" s="6" t="str">
        <v>Rafiq Islam</v>
      </c>
    </row>
    <row r="224" spans="1:14" x14ac:dyDescent="0.25">
      <c r="A224" s="6">
        <v>1103</v>
      </c>
      <c r="B224" s="6" t="str">
        <v>2026-02-11</v>
      </c>
      <c r="C224" s="6" t="str">
        <v>Sylhet</v>
      </c>
      <c r="D224" s="6" t="str">
        <v>Sylhet</v>
      </c>
      <c r="E224" s="6" t="str">
        <v>Retail Electronics</v>
      </c>
      <c r="F224" s="6" t="str">
        <v>Walton Fridge</v>
      </c>
      <c r="G224" s="6" t="str">
        <v>Kamal Hossain</v>
      </c>
      <c r="H224" s="6">
        <v>22</v>
      </c>
      <c r="I224" s="6">
        <v>1417.42</v>
      </c>
      <c r="J224" s="6">
        <v>31183.24</v>
      </c>
      <c r="K224" s="6" t="str">
        <v>Corporate</v>
      </c>
      <c r="N224" s="6" t="str">
        <v>Kamal Hossain</v>
      </c>
    </row>
    <row r="225" spans="1:14" x14ac:dyDescent="0.25">
      <c r="A225" s="6">
        <v>1124</v>
      </c>
      <c r="B225" s="6" t="str">
        <v>2026-03-11</v>
      </c>
      <c r="C225" s="6" t="str">
        <v>Khulna</v>
      </c>
      <c r="D225" s="6" t="str">
        <v>Jessore</v>
      </c>
      <c r="E225" s="6" t="str">
        <v>RMG Supplies</v>
      </c>
      <c r="F225" s="6" t="str">
        <v>Cotton Fabric Roll</v>
      </c>
      <c r="G225" s="6" t="str">
        <v>Farzana Akter</v>
      </c>
      <c r="H225" s="6">
        <v>125</v>
      </c>
      <c r="I225" s="6">
        <v>173.87</v>
      </c>
      <c r="J225" s="6">
        <v>21733.75</v>
      </c>
      <c r="K225" s="6" t="str">
        <v>Corporate</v>
      </c>
      <c r="N225" s="6" t="str">
        <v>Farzana Akter</v>
      </c>
    </row>
    <row r="226" spans="1:14" x14ac:dyDescent="0.25">
      <c r="A226" s="6">
        <v>1163</v>
      </c>
      <c r="B226" s="6" t="str">
        <v>2026-02-15</v>
      </c>
      <c r="C226" s="6" t="str">
        <v>Khulna</v>
      </c>
      <c r="D226" s="6" t="str">
        <v>Khulna</v>
      </c>
      <c r="E226" s="6" t="str">
        <v>FMCG</v>
      </c>
      <c r="F226" s="6" t="str">
        <v>Square Toiletries</v>
      </c>
      <c r="G226" s="6" t="str">
        <v>Kamal Hossain</v>
      </c>
      <c r="H226" s="6">
        <v>15</v>
      </c>
      <c r="I226" s="6">
        <v>1276.33</v>
      </c>
      <c r="J226" s="6">
        <v>19144.949999999997</v>
      </c>
      <c r="K226" s="6" t="str">
        <v>Corporate</v>
      </c>
      <c r="N226" s="6" t="str">
        <v>Kamal Hossain</v>
      </c>
    </row>
    <row r="227" spans="1:14" x14ac:dyDescent="0.25">
      <c r="A227" s="6">
        <v>1075</v>
      </c>
      <c r="B227" s="6" t="str">
        <v>2026-02-06</v>
      </c>
      <c r="C227" s="6" t="str">
        <v>Chattogram</v>
      </c>
      <c r="D227" s="6" t="str">
        <v>Cox's Bazar</v>
      </c>
      <c r="E227" s="6" t="str">
        <v>FMCG</v>
      </c>
      <c r="F227" s="6" t="str">
        <v>Square Toiletries</v>
      </c>
      <c r="G227" s="6" t="str">
        <v>Jahangir Alam</v>
      </c>
      <c r="H227" s="6">
        <v>91</v>
      </c>
      <c r="I227" s="6">
        <v>192.06</v>
      </c>
      <c r="J227" s="6">
        <v>17477.46</v>
      </c>
      <c r="K227" s="6" t="str">
        <v>Wholesale</v>
      </c>
      <c r="N227" s="6" t="str">
        <v>Jahangir Alam</v>
      </c>
    </row>
    <row r="228" spans="1:14" x14ac:dyDescent="0.25">
      <c r="A228" s="6">
        <v>1168</v>
      </c>
      <c r="B228" s="6" t="str">
        <v>2026-01-07</v>
      </c>
      <c r="C228" s="6" t="str">
        <v>Chattogram</v>
      </c>
      <c r="D228" s="6" t="str">
        <v>Chattogram</v>
      </c>
      <c r="E228" s="6" t="str">
        <v>Retail Electronics</v>
      </c>
      <c r="F228" s="6" t="str">
        <v>Singer Blender</v>
      </c>
      <c r="G228" s="6" t="str">
        <v>Mitu Rahman</v>
      </c>
      <c r="H228" s="6">
        <v>9</v>
      </c>
      <c r="I228" s="6">
        <v>1844.86</v>
      </c>
      <c r="J228" s="6">
        <v>16603.739999999998</v>
      </c>
      <c r="K228" s="6" t="str">
        <v>Wholesale</v>
      </c>
      <c r="N228" s="6" t="str">
        <v>Mitu Rahman</v>
      </c>
    </row>
    <row r="229" spans="1:14" x14ac:dyDescent="0.25">
      <c r="A229" s="6">
        <v>1152</v>
      </c>
      <c r="B229" s="6" t="str">
        <v>2026-01-28</v>
      </c>
      <c r="C229" s="6" t="str">
        <v>Sylhet</v>
      </c>
      <c r="D229" s="6" t="str">
        <v>Sylhet</v>
      </c>
      <c r="E229" s="6" t="str">
        <v>Mobile Banking</v>
      </c>
      <c r="F229" s="6" t="str">
        <v>Nagad POS Device</v>
      </c>
      <c r="G229" s="6" t="str">
        <v>Rafiq Islam</v>
      </c>
      <c r="H229" s="6">
        <v>116</v>
      </c>
      <c r="I229" s="6">
        <v>142.77000000000001</v>
      </c>
      <c r="J229" s="6">
        <v>16561.32</v>
      </c>
      <c r="K229" s="6" t="str">
        <v>Wholesale</v>
      </c>
      <c r="N229" s="6" t="str">
        <v>Rafiq Islam</v>
      </c>
    </row>
    <row r="230" spans="1:14" x14ac:dyDescent="0.25">
      <c r="A230" s="6">
        <v>1048</v>
      </c>
      <c r="B230" s="6" t="str">
        <v>2026-03-22</v>
      </c>
      <c r="C230" s="6" t="str">
        <v>Sylhet</v>
      </c>
      <c r="D230" s="6" t="str">
        <v>Sylhet</v>
      </c>
      <c r="E230" s="6" t="str">
        <v>RMG Supplies</v>
      </c>
      <c r="F230" s="6" t="str">
        <v>Cotton Fabric Roll</v>
      </c>
      <c r="G230" s="6" t="str">
        <v>Jahangir Alam</v>
      </c>
      <c r="H230" s="6">
        <v>5</v>
      </c>
      <c r="I230" s="6">
        <v>2623.61</v>
      </c>
      <c r="J230" s="6">
        <v>13118.050000000001</v>
      </c>
      <c r="K230" s="6" t="str">
        <v>Corporate</v>
      </c>
      <c r="N230" s="6" t="str">
        <v>Jahangir Alam</v>
      </c>
    </row>
    <row r="231" spans="1:14" x14ac:dyDescent="0.25">
      <c r="A231" s="6">
        <v>1144</v>
      </c>
      <c r="B231" s="6" t="str">
        <v>2026-03-25</v>
      </c>
      <c r="C231" s="6" t="str">
        <v>Sylhet</v>
      </c>
      <c r="D231" s="6" t="str">
        <v>Sylhet</v>
      </c>
      <c r="E231" s="6" t="str">
        <v>FMCG</v>
      </c>
      <c r="F231" s="6" t="str">
        <v>Square Toiletries</v>
      </c>
      <c r="G231" s="6" t="str">
        <v>Shahid Ahmed</v>
      </c>
      <c r="H231" s="6">
        <v>12</v>
      </c>
      <c r="I231" s="6">
        <v>943.06</v>
      </c>
      <c r="J231" s="6">
        <v>11316.72</v>
      </c>
      <c r="K231" s="6" t="str">
        <v>Wholesale</v>
      </c>
      <c r="N231" s="6" t="str">
        <v>Shahid Ahmed</v>
      </c>
    </row>
    <row r="232" spans="1:14" x14ac:dyDescent="0.25">
      <c r="A232" s="6">
        <v>1131</v>
      </c>
      <c r="B232" s="6" t="str">
        <v>2026-01-05</v>
      </c>
      <c r="C232" s="6" t="str">
        <v>Chattogram</v>
      </c>
      <c r="D232" s="6" t="str">
        <v>Chattogram</v>
      </c>
      <c r="E232" s="6" t="str">
        <v>Telecom</v>
      </c>
      <c r="F232" s="6" t="str">
        <v>Robi Internet Pack</v>
      </c>
      <c r="G232" s="6" t="str">
        <v>Kamal Hossain</v>
      </c>
      <c r="H232" s="6">
        <v>157</v>
      </c>
      <c r="I232" s="6">
        <v>64.040000000000006</v>
      </c>
      <c r="J232" s="6">
        <v>10054.280000000001</v>
      </c>
      <c r="K232" s="6" t="str">
        <v>Corporate</v>
      </c>
      <c r="N232" s="6" t="str">
        <v>Kamal Hossain</v>
      </c>
    </row>
    <row r="233" spans="1:14" x14ac:dyDescent="0.25">
      <c r="A233" s="6">
        <v>1015</v>
      </c>
      <c r="B233" s="6" t="str">
        <v>2026-03-24</v>
      </c>
      <c r="C233" s="6" t="str">
        <v>Khulna</v>
      </c>
      <c r="D233" s="6" t="str">
        <v>Khulna</v>
      </c>
      <c r="E233" s="6" t="str">
        <v>RMG Supplies</v>
      </c>
      <c r="F233" s="6" t="str">
        <v>Sewing Thread Box</v>
      </c>
      <c r="G233" s="6" t="str">
        <v>Kamal Hossain</v>
      </c>
      <c r="H233" s="6">
        <v>121</v>
      </c>
      <c r="I233" s="6">
        <v>66.06</v>
      </c>
      <c r="J233" s="6">
        <v>7993.26</v>
      </c>
      <c r="K233" s="6" t="str">
        <v>Wholesale</v>
      </c>
      <c r="N233" s="6" t="str">
        <v>Kamal Hossain</v>
      </c>
    </row>
    <row r="234" spans="1:14" x14ac:dyDescent="0.25">
      <c r="A234" s="6">
        <v>1028</v>
      </c>
      <c r="B234" s="6" t="str">
        <v>2026-02-09</v>
      </c>
      <c r="C234" s="6" t="str">
        <v>Rajshahi</v>
      </c>
      <c r="D234" s="6" t="str">
        <v>Rajshahi</v>
      </c>
      <c r="E234" s="6" t="str">
        <v>Retail Electronics</v>
      </c>
      <c r="F234" s="6" t="str">
        <v>Walton Fridge</v>
      </c>
      <c r="G234" s="6" t="str">
        <v>Kamal Hossain</v>
      </c>
      <c r="H234" s="6">
        <v>102</v>
      </c>
      <c r="I234" s="6">
        <v>60.67</v>
      </c>
      <c r="J234" s="6">
        <v>6188.34</v>
      </c>
      <c r="K234" s="6" t="str">
        <v>Wholesale</v>
      </c>
      <c r="N234" s="6" t="str">
        <v>Kamal Hossain</v>
      </c>
    </row>
    <row r="235" spans="1:14" x14ac:dyDescent="0.25">
      <c r="A235" s="6">
        <v>1017</v>
      </c>
      <c r="B235" s="6" t="str">
        <v>2026-02-27</v>
      </c>
      <c r="C235" s="6" t="str">
        <v>Chattogram</v>
      </c>
      <c r="D235" s="6" t="str">
        <v>Chattogram</v>
      </c>
      <c r="E235" s="6" t="str">
        <v>FMCG</v>
      </c>
      <c r="F235" s="6" t="str">
        <v>Pran Juice Carton</v>
      </c>
      <c r="G235" s="6" t="str">
        <v>Sumaiya Khan</v>
      </c>
      <c r="H235" s="6">
        <v>9</v>
      </c>
      <c r="I235" s="6">
        <v>603.75</v>
      </c>
      <c r="J235" s="6">
        <v>5433.75</v>
      </c>
      <c r="K235" s="6" t="str">
        <v>Wholesale</v>
      </c>
      <c r="N235" s="6" t="str">
        <v>Sumaiya Khan</v>
      </c>
    </row>
    <row r="236" spans="1:14" x14ac:dyDescent="0.25">
      <c r="A236" s="6">
        <v>1132</v>
      </c>
      <c r="B236" s="6" t="str">
        <v>2026-01-19</v>
      </c>
      <c r="C236" s="6" t="str">
        <v>Khulna</v>
      </c>
      <c r="D236" s="6" t="str">
        <v>Khulna</v>
      </c>
      <c r="E236" s="6" t="str">
        <v>Mobile Banking</v>
      </c>
      <c r="F236" s="6" t="str">
        <v>Rocket Sim Pack</v>
      </c>
      <c r="G236" s="6" t="str">
        <v>Rafiq Islam</v>
      </c>
      <c r="H236" s="6">
        <v>38</v>
      </c>
      <c r="I236" s="6">
        <v>123.56</v>
      </c>
      <c r="J236" s="6">
        <v>4695.28</v>
      </c>
      <c r="K236" s="6" t="str">
        <v>Wholesale</v>
      </c>
      <c r="N236" s="6" t="str">
        <v>Rafiq Islam</v>
      </c>
    </row>
  </sheetData>
  <mergeCells count="9">
    <mergeCell ref="B56:J56"/>
    <mergeCell ref="N56:S56"/>
    <mergeCell ref="M19:Q19"/>
    <mergeCell ref="S19:W19"/>
    <mergeCell ref="U56:AE56"/>
    <mergeCell ref="A1:I1"/>
    <mergeCell ref="C19:J19"/>
    <mergeCell ref="L1:V1"/>
    <mergeCell ref="L9:T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Dynamic_Arrays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Munjurul Alam Piash</cp:lastModifiedBy>
  <dcterms:created xsi:type="dcterms:W3CDTF">2026-07-05T12:32:44Z</dcterms:created>
  <dcterms:modified xsi:type="dcterms:W3CDTF">2026-07-05T14:01:47Z</dcterms:modified>
</cp:coreProperties>
</file>