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F:\data analytics\Week 2\Day 8\"/>
    </mc:Choice>
  </mc:AlternateContent>
  <xr:revisionPtr revIDLastSave="0" documentId="13_ncr:1_{D2C8C64A-E998-4F4C-9AAF-B45AE2D98190}" xr6:coauthVersionLast="47" xr6:coauthVersionMax="47" xr10:uidLastSave="{00000000-0000-0000-0000-000000000000}"/>
  <bookViews>
    <workbookView xWindow="14295" yWindow="0" windowWidth="14610" windowHeight="16305" activeTab="1" xr2:uid="{00000000-000D-0000-FFFF-FFFF00000000}"/>
  </bookViews>
  <sheets>
    <sheet name="Pivot" sheetId="6" r:id="rId1"/>
    <sheet name="Dashboard" sheetId="7" r:id="rId2"/>
    <sheet name="Sales" sheetId="1" r:id="rId3"/>
    <sheet name="Products" sheetId="2" r:id="rId4"/>
    <sheet name="Customers" sheetId="3" r:id="rId5"/>
    <sheet name="DimDate" sheetId="4" r:id="rId6"/>
    <sheet name="DAX Measures" sheetId="5" r:id="rId7"/>
  </sheets>
  <definedNames>
    <definedName name="_xlcn.WorksheetConnection_Day8_PowerPivot_Dataset.xlsxtblCustomers1" hidden="1">tblCustomers[]</definedName>
    <definedName name="_xlcn.WorksheetConnection_Day8_PowerPivot_Dataset.xlsxtblDate1" hidden="1">tblDate[]</definedName>
    <definedName name="_xlcn.WorksheetConnection_Day8_PowerPivot_Dataset.xlsxtblProducts1" hidden="1">tblProducts[]</definedName>
    <definedName name="_xlcn.WorksheetConnection_Day8_PowerPivot_Dataset.xlsxtblSales1" hidden="1">tblSales[]</definedName>
    <definedName name="Slicer_Region">#N/A</definedName>
    <definedName name="Slicer_Year">#N/A</definedName>
  </definedNames>
  <calcPr calcId="191029"/>
  <pivotCaches>
    <pivotCache cacheId="16" r:id="rId8"/>
    <pivotCache cacheId="17" r:id="rId9"/>
  </pivotCaches>
  <extLst>
    <ext xmlns:x14="http://schemas.microsoft.com/office/spreadsheetml/2009/9/main" uri="{876F7934-8845-4945-9796-88D515C7AA90}">
      <x14:pivotCaches>
        <pivotCache cacheId="1"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blSales" name="tblSales" connection="WorksheetConnection_Day8_PowerPivot_Dataset.xlsx!tblSales"/>
          <x15:modelTable id="tblProducts" name="tblProducts" connection="WorksheetConnection_Day8_PowerPivot_Dataset.xlsx!tblProducts"/>
          <x15:modelTable id="tblDate" name="tblDate" connection="WorksheetConnection_Day8_PowerPivot_Dataset.xlsx!tblDate"/>
          <x15:modelTable id="tblCustomers" name="tblCustomers" connection="WorksheetConnection_Day8_PowerPivot_Dataset.xlsx!tblCustomers"/>
        </x15:modelTables>
        <x15:modelRelationships>
          <x15:modelRelationship fromTable="tblSales" fromColumn="ProductID" toTable="tblProducts" toColumn="ProductID"/>
          <x15:modelRelationship fromTable="tblSales" fromColumn="CustomerID" toTable="tblCustomers" toColumn="CustomerID"/>
          <x15:modelRelationship fromTable="tblSales" fromColumn="Date" toTable="tbl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5" i="7" l="1"/>
  <c r="I5" i="7"/>
  <c r="E5" i="7"/>
  <c r="A5"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085B5C3-2BD5-408B-994A-90C1DBAA5A2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46FFEA1-1D33-466D-BE74-75DEFFC95B4F}" name="WorksheetConnection_Day8_PowerPivot_Dataset.xlsx!tblCustomers" type="102" refreshedVersion="8" minRefreshableVersion="5">
    <extLst>
      <ext xmlns:x15="http://schemas.microsoft.com/office/spreadsheetml/2010/11/main" uri="{DE250136-89BD-433C-8126-D09CA5730AF9}">
        <x15:connection id="tblCustomers">
          <x15:rangePr sourceName="_xlcn.WorksheetConnection_Day8_PowerPivot_Dataset.xlsxtblCustomers1"/>
        </x15:connection>
      </ext>
    </extLst>
  </connection>
  <connection id="3" xr16:uid="{691195EB-31FA-4F71-BAB8-7C2B533DB5CB}" name="WorksheetConnection_Day8_PowerPivot_Dataset.xlsx!tblDate" type="102" refreshedVersion="8" minRefreshableVersion="5">
    <extLst>
      <ext xmlns:x15="http://schemas.microsoft.com/office/spreadsheetml/2010/11/main" uri="{DE250136-89BD-433C-8126-D09CA5730AF9}">
        <x15:connection id="tblDate">
          <x15:rangePr sourceName="_xlcn.WorksheetConnection_Day8_PowerPivot_Dataset.xlsxtblDate1"/>
        </x15:connection>
      </ext>
    </extLst>
  </connection>
  <connection id="4" xr16:uid="{CFDD971F-C013-434E-97AD-250AFA06041C}" name="WorksheetConnection_Day8_PowerPivot_Dataset.xlsx!tblProducts" type="102" refreshedVersion="8" minRefreshableVersion="5">
    <extLst>
      <ext xmlns:x15="http://schemas.microsoft.com/office/spreadsheetml/2010/11/main" uri="{DE250136-89BD-433C-8126-D09CA5730AF9}">
        <x15:connection id="tblProducts">
          <x15:rangePr sourceName="_xlcn.WorksheetConnection_Day8_PowerPivot_Dataset.xlsxtblProducts1"/>
        </x15:connection>
      </ext>
    </extLst>
  </connection>
  <connection id="5" xr16:uid="{71C748EA-EBFD-408B-9B09-405BC55C7AF0}" name="WorksheetConnection_Day8_PowerPivot_Dataset.xlsx!tblSales" type="102" refreshedVersion="8" minRefreshableVersion="5">
    <extLst>
      <ext xmlns:x15="http://schemas.microsoft.com/office/spreadsheetml/2010/11/main" uri="{DE250136-89BD-433C-8126-D09CA5730AF9}">
        <x15:connection id="tblSales">
          <x15:rangePr sourceName="_xlcn.WorksheetConnection_Day8_PowerPivot_Dataset.xlsxtblSale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Measures].[YoY Growth]"/>
    <s v="0.00%;-0.00%;0.00%"/>
  </metadataStrings>
  <mdxMetadata count="1">
    <mdx n="0" f="v">
      <t c="1" si="2">
        <n x="1"/>
      </t>
    </mdx>
  </mdxMetadata>
  <valueMetadata count="1">
    <bk>
      <rc t="1" v="0"/>
    </bk>
  </valueMetadata>
</metadata>
</file>

<file path=xl/sharedStrings.xml><?xml version="1.0" encoding="utf-8"?>
<sst xmlns="http://schemas.openxmlformats.org/spreadsheetml/2006/main" count="2974" uniqueCount="355">
  <si>
    <t>📊 Sales Table | Power Pivot-এ add করো: Power Pivot Tab → Add to Data Model</t>
  </si>
  <si>
    <t>OrderID</t>
  </si>
  <si>
    <t>ProductID</t>
  </si>
  <si>
    <t>CustomerID</t>
  </si>
  <si>
    <t>Date</t>
  </si>
  <si>
    <t>Amount</t>
  </si>
  <si>
    <t>Qty</t>
  </si>
  <si>
    <t>ORD0001</t>
  </si>
  <si>
    <t>P003</t>
  </si>
  <si>
    <t>C019</t>
  </si>
  <si>
    <t>ORD0002</t>
  </si>
  <si>
    <t>P005</t>
  </si>
  <si>
    <t>C018</t>
  </si>
  <si>
    <t>ORD0003</t>
  </si>
  <si>
    <t>P007</t>
  </si>
  <si>
    <t>C017</t>
  </si>
  <si>
    <t>ORD0004</t>
  </si>
  <si>
    <t>P006</t>
  </si>
  <si>
    <t>ORD0005</t>
  </si>
  <si>
    <t>P008</t>
  </si>
  <si>
    <t>C005</t>
  </si>
  <si>
    <t>ORD0006</t>
  </si>
  <si>
    <t>P001</t>
  </si>
  <si>
    <t>C012</t>
  </si>
  <si>
    <t>ORD0007</t>
  </si>
  <si>
    <t>C011</t>
  </si>
  <si>
    <t>ORD0008</t>
  </si>
  <si>
    <t>P004</t>
  </si>
  <si>
    <t>ORD0009</t>
  </si>
  <si>
    <t>C014</t>
  </si>
  <si>
    <t>ORD0010</t>
  </si>
  <si>
    <t>C001</t>
  </si>
  <si>
    <t>ORD0011</t>
  </si>
  <si>
    <t>C020</t>
  </si>
  <si>
    <t>ORD0012</t>
  </si>
  <si>
    <t>C008</t>
  </si>
  <si>
    <t>ORD0013</t>
  </si>
  <si>
    <t>ORD0014</t>
  </si>
  <si>
    <t>ORD0015</t>
  </si>
  <si>
    <t>C006</t>
  </si>
  <si>
    <t>ORD0016</t>
  </si>
  <si>
    <t>P002</t>
  </si>
  <si>
    <t>C004</t>
  </si>
  <si>
    <t>ORD0017</t>
  </si>
  <si>
    <t>ORD0018</t>
  </si>
  <si>
    <t>C010</t>
  </si>
  <si>
    <t>ORD0019</t>
  </si>
  <si>
    <t>C016</t>
  </si>
  <si>
    <t>ORD0020</t>
  </si>
  <si>
    <t>C007</t>
  </si>
  <si>
    <t>ORD0021</t>
  </si>
  <si>
    <t>ORD0022</t>
  </si>
  <si>
    <t>ORD0023</t>
  </si>
  <si>
    <t>ORD0024</t>
  </si>
  <si>
    <t>ORD0025</t>
  </si>
  <si>
    <t>ORD0026</t>
  </si>
  <si>
    <t>ORD0027</t>
  </si>
  <si>
    <t>ORD0028</t>
  </si>
  <si>
    <t>ORD0029</t>
  </si>
  <si>
    <t>ORD0030</t>
  </si>
  <si>
    <t>ORD0031</t>
  </si>
  <si>
    <t>C002</t>
  </si>
  <si>
    <t>ORD0032</t>
  </si>
  <si>
    <t>ORD0033</t>
  </si>
  <si>
    <t>C009</t>
  </si>
  <si>
    <t>ORD0034</t>
  </si>
  <si>
    <t>ORD0035</t>
  </si>
  <si>
    <t>ORD0036</t>
  </si>
  <si>
    <t>ORD0037</t>
  </si>
  <si>
    <t>ORD0038</t>
  </si>
  <si>
    <t>ORD0039</t>
  </si>
  <si>
    <t>ORD0040</t>
  </si>
  <si>
    <t>ORD0041</t>
  </si>
  <si>
    <t>ORD0042</t>
  </si>
  <si>
    <t>ORD0043</t>
  </si>
  <si>
    <t>ORD0044</t>
  </si>
  <si>
    <t>ORD0045</t>
  </si>
  <si>
    <t>ORD0046</t>
  </si>
  <si>
    <t>ORD0047</t>
  </si>
  <si>
    <t>ORD0048</t>
  </si>
  <si>
    <t>ORD0049</t>
  </si>
  <si>
    <t>ORD0050</t>
  </si>
  <si>
    <t>ORD0051</t>
  </si>
  <si>
    <t>ORD0052</t>
  </si>
  <si>
    <t>ORD0053</t>
  </si>
  <si>
    <t>C015</t>
  </si>
  <si>
    <t>ORD0054</t>
  </si>
  <si>
    <t>ORD0055</t>
  </si>
  <si>
    <t>ORD0056</t>
  </si>
  <si>
    <t>ORD0057</t>
  </si>
  <si>
    <t>ORD0058</t>
  </si>
  <si>
    <t>ORD0059</t>
  </si>
  <si>
    <t>C003</t>
  </si>
  <si>
    <t>ORD0060</t>
  </si>
  <si>
    <t>ORD0061</t>
  </si>
  <si>
    <t>ORD0062</t>
  </si>
  <si>
    <t>ORD0063</t>
  </si>
  <si>
    <t>ORD0064</t>
  </si>
  <si>
    <t>ORD0065</t>
  </si>
  <si>
    <t>ORD0066</t>
  </si>
  <si>
    <t>ORD0067</t>
  </si>
  <si>
    <t>ORD0068</t>
  </si>
  <si>
    <t>ORD0069</t>
  </si>
  <si>
    <t>ORD0070</t>
  </si>
  <si>
    <t>ORD0071</t>
  </si>
  <si>
    <t>C013</t>
  </si>
  <si>
    <t>ORD0072</t>
  </si>
  <si>
    <t>ORD0073</t>
  </si>
  <si>
    <t>ORD0074</t>
  </si>
  <si>
    <t>ORD0075</t>
  </si>
  <si>
    <t>ORD0076</t>
  </si>
  <si>
    <t>ORD0077</t>
  </si>
  <si>
    <t>ORD0078</t>
  </si>
  <si>
    <t>ORD0079</t>
  </si>
  <si>
    <t>ORD0080</t>
  </si>
  <si>
    <t>ORD0081</t>
  </si>
  <si>
    <t>ORD0082</t>
  </si>
  <si>
    <t>ORD0083</t>
  </si>
  <si>
    <t>ORD0084</t>
  </si>
  <si>
    <t>ORD0085</t>
  </si>
  <si>
    <t>ORD0086</t>
  </si>
  <si>
    <t>ORD0087</t>
  </si>
  <si>
    <t>ORD0088</t>
  </si>
  <si>
    <t>ORD0089</t>
  </si>
  <si>
    <t>ORD0090</t>
  </si>
  <si>
    <t>ORD0091</t>
  </si>
  <si>
    <t>ORD0092</t>
  </si>
  <si>
    <t>ORD0093</t>
  </si>
  <si>
    <t>ORD0094</t>
  </si>
  <si>
    <t>ORD0095</t>
  </si>
  <si>
    <t>ORD0096</t>
  </si>
  <si>
    <t>ORD0097</t>
  </si>
  <si>
    <t>ORD0098</t>
  </si>
  <si>
    <t>ORD0099</t>
  </si>
  <si>
    <t>ORD0100</t>
  </si>
  <si>
    <t>ORD0101</t>
  </si>
  <si>
    <t>ORD0102</t>
  </si>
  <si>
    <t>ORD0103</t>
  </si>
  <si>
    <t>ORD0104</t>
  </si>
  <si>
    <t>ORD0105</t>
  </si>
  <si>
    <t>ORD0106</t>
  </si>
  <si>
    <t>ORD0107</t>
  </si>
  <si>
    <t>ORD0108</t>
  </si>
  <si>
    <t>ORD0109</t>
  </si>
  <si>
    <t>ORD0110</t>
  </si>
  <si>
    <t>ORD0111</t>
  </si>
  <si>
    <t>ORD0112</t>
  </si>
  <si>
    <t>ORD0113</t>
  </si>
  <si>
    <t>ORD0114</t>
  </si>
  <si>
    <t>ORD0115</t>
  </si>
  <si>
    <t>ORD0116</t>
  </si>
  <si>
    <t>ORD0117</t>
  </si>
  <si>
    <t>ORD0118</t>
  </si>
  <si>
    <t>ORD0119</t>
  </si>
  <si>
    <t>ORD0120</t>
  </si>
  <si>
    <t>ORD0121</t>
  </si>
  <si>
    <t>ORD0122</t>
  </si>
  <si>
    <t>ORD0123</t>
  </si>
  <si>
    <t>ORD0124</t>
  </si>
  <si>
    <t>ORD0125</t>
  </si>
  <si>
    <t>ORD0126</t>
  </si>
  <si>
    <t>ORD0127</t>
  </si>
  <si>
    <t>ORD0128</t>
  </si>
  <si>
    <t>ORD0129</t>
  </si>
  <si>
    <t>ORD0130</t>
  </si>
  <si>
    <t>ORD0131</t>
  </si>
  <si>
    <t>ORD0132</t>
  </si>
  <si>
    <t>ORD0133</t>
  </si>
  <si>
    <t>ORD0134</t>
  </si>
  <si>
    <t>ORD0135</t>
  </si>
  <si>
    <t>ORD0136</t>
  </si>
  <si>
    <t>ORD0137</t>
  </si>
  <si>
    <t>ORD0138</t>
  </si>
  <si>
    <t>ORD0139</t>
  </si>
  <si>
    <t>ORD0140</t>
  </si>
  <si>
    <t>ORD0141</t>
  </si>
  <si>
    <t>ORD0142</t>
  </si>
  <si>
    <t>ORD0143</t>
  </si>
  <si>
    <t>ORD0144</t>
  </si>
  <si>
    <t>ORD0145</t>
  </si>
  <si>
    <t>ORD0146</t>
  </si>
  <si>
    <t>ORD0147</t>
  </si>
  <si>
    <t>ORD0148</t>
  </si>
  <si>
    <t>ORD0149</t>
  </si>
  <si>
    <t>ORD0150</t>
  </si>
  <si>
    <t>ORD0151</t>
  </si>
  <si>
    <t>ORD0152</t>
  </si>
  <si>
    <t>ORD0153</t>
  </si>
  <si>
    <t>ORD0154</t>
  </si>
  <si>
    <t>ORD0155</t>
  </si>
  <si>
    <t>ORD0156</t>
  </si>
  <si>
    <t>ORD0157</t>
  </si>
  <si>
    <t>ORD0158</t>
  </si>
  <si>
    <t>ORD0159</t>
  </si>
  <si>
    <t>ORD0160</t>
  </si>
  <si>
    <t>ORD0161</t>
  </si>
  <si>
    <t>ORD0162</t>
  </si>
  <si>
    <t>ORD0163</t>
  </si>
  <si>
    <t>ORD0164</t>
  </si>
  <si>
    <t>ORD0165</t>
  </si>
  <si>
    <t>ORD0166</t>
  </si>
  <si>
    <t>ORD0167</t>
  </si>
  <si>
    <t>ORD0168</t>
  </si>
  <si>
    <t>ORD0169</t>
  </si>
  <si>
    <t>ORD0170</t>
  </si>
  <si>
    <t>ORD0171</t>
  </si>
  <si>
    <t>ORD0172</t>
  </si>
  <si>
    <t>ORD0173</t>
  </si>
  <si>
    <t>ORD0174</t>
  </si>
  <si>
    <t>ORD0175</t>
  </si>
  <si>
    <t>ORD0176</t>
  </si>
  <si>
    <t>ORD0177</t>
  </si>
  <si>
    <t>ORD0178</t>
  </si>
  <si>
    <t>ORD0179</t>
  </si>
  <si>
    <t>ORD0180</t>
  </si>
  <si>
    <t>ORD0181</t>
  </si>
  <si>
    <t>ORD0182</t>
  </si>
  <si>
    <t>ORD0183</t>
  </si>
  <si>
    <t>ORD0184</t>
  </si>
  <si>
    <t>ORD0185</t>
  </si>
  <si>
    <t>ORD0186</t>
  </si>
  <si>
    <t>ORD0187</t>
  </si>
  <si>
    <t>ORD0188</t>
  </si>
  <si>
    <t>ORD0189</t>
  </si>
  <si>
    <t>ORD0190</t>
  </si>
  <si>
    <t>ORD0191</t>
  </si>
  <si>
    <t>ORD0192</t>
  </si>
  <si>
    <t>ORD0193</t>
  </si>
  <si>
    <t>ORD0194</t>
  </si>
  <si>
    <t>ORD0195</t>
  </si>
  <si>
    <t>ORD0196</t>
  </si>
  <si>
    <t>ORD0197</t>
  </si>
  <si>
    <t>ORD0198</t>
  </si>
  <si>
    <t>ORD0199</t>
  </si>
  <si>
    <t>ORD0200</t>
  </si>
  <si>
    <t>📦 Products Table | Relationship: tblSales[ProductID] → tblProducts[ProductID]</t>
  </si>
  <si>
    <t>ProductName</t>
  </si>
  <si>
    <t>Category</t>
  </si>
  <si>
    <t>Price</t>
  </si>
  <si>
    <t>Cost</t>
  </si>
  <si>
    <t>Laptop</t>
  </si>
  <si>
    <t>Electronics</t>
  </si>
  <si>
    <t>Phone</t>
  </si>
  <si>
    <t>Shirt</t>
  </si>
  <si>
    <t>Clothing</t>
  </si>
  <si>
    <t>Pants</t>
  </si>
  <si>
    <t>Rice 50kg</t>
  </si>
  <si>
    <t>Food</t>
  </si>
  <si>
    <t>Oil 5L</t>
  </si>
  <si>
    <t>Chair</t>
  </si>
  <si>
    <t>Furniture</t>
  </si>
  <si>
    <t>Desk</t>
  </si>
  <si>
    <t>👥 Customers Table | Relationship: tblSales[CustomerID] → tblCustomers[CustomerID]</t>
  </si>
  <si>
    <t>CustomerName</t>
  </si>
  <si>
    <t>Region</t>
  </si>
  <si>
    <t>Segment</t>
  </si>
  <si>
    <t>Ahmed Corp</t>
  </si>
  <si>
    <t>Dhaka</t>
  </si>
  <si>
    <t>Corporate</t>
  </si>
  <si>
    <t>Rahim Ltd</t>
  </si>
  <si>
    <t>CTG</t>
  </si>
  <si>
    <t>SME</t>
  </si>
  <si>
    <t>Karim Trading</t>
  </si>
  <si>
    <t>Sylhet</t>
  </si>
  <si>
    <t>Retail</t>
  </si>
  <si>
    <t>Hossain Stores</t>
  </si>
  <si>
    <t>Rajshahi</t>
  </si>
  <si>
    <t>Government</t>
  </si>
  <si>
    <t>Islam Enterprise</t>
  </si>
  <si>
    <t>Khulna</t>
  </si>
  <si>
    <t>Rahman Co</t>
  </si>
  <si>
    <t>Ali Traders</t>
  </si>
  <si>
    <t>Khan Industries</t>
  </si>
  <si>
    <t>Begum Services</t>
  </si>
  <si>
    <t>Noor Agency</t>
  </si>
  <si>
    <t>Faruk Shops</t>
  </si>
  <si>
    <t>Reza Group</t>
  </si>
  <si>
    <t>Mia Holdings</t>
  </si>
  <si>
    <t>Uddin Retail</t>
  </si>
  <si>
    <t>Sultana Corp</t>
  </si>
  <si>
    <t>Bhuiyan Ltd</t>
  </si>
  <si>
    <t>Chowdhury Co</t>
  </si>
  <si>
    <t>Dewan Traders</t>
  </si>
  <si>
    <t>Chandra Store</t>
  </si>
  <si>
    <t>Sarker Enterprise</t>
  </si>
  <si>
    <t>📅 Date Table | Mark as Date Table: Design Tab → Mark as Date Table → Date column</t>
  </si>
  <si>
    <t>Year</t>
  </si>
  <si>
    <t>Quarter</t>
  </si>
  <si>
    <t>Month</t>
  </si>
  <si>
    <t>MonthName</t>
  </si>
  <si>
    <t>WeekDay</t>
  </si>
  <si>
    <t>IsWeekend</t>
  </si>
  <si>
    <t>Q1</t>
  </si>
  <si>
    <t>Jan</t>
  </si>
  <si>
    <t>Sun</t>
  </si>
  <si>
    <t>Mon</t>
  </si>
  <si>
    <t>Tue</t>
  </si>
  <si>
    <t>Wed</t>
  </si>
  <si>
    <t>Thu</t>
  </si>
  <si>
    <t>Fri</t>
  </si>
  <si>
    <t>Sat</t>
  </si>
  <si>
    <t>Feb</t>
  </si>
  <si>
    <t>Mar</t>
  </si>
  <si>
    <t>Q2</t>
  </si>
  <si>
    <t>Apr</t>
  </si>
  <si>
    <t>May</t>
  </si>
  <si>
    <t>Jun</t>
  </si>
  <si>
    <t>Q3</t>
  </si>
  <si>
    <t>Jul</t>
  </si>
  <si>
    <t>Aug</t>
  </si>
  <si>
    <t>Sep</t>
  </si>
  <si>
    <t>Q4</t>
  </si>
  <si>
    <t>Oct</t>
  </si>
  <si>
    <t>Nov</t>
  </si>
  <si>
    <t>Dec</t>
  </si>
  <si>
    <t>🧮 DAX Measures — এখানে measures type করো এবং Power Pivot-এ test করো</t>
  </si>
  <si>
    <t>Measure Name</t>
  </si>
  <si>
    <t>DAX Formula</t>
  </si>
  <si>
    <t>Expected Result</t>
  </si>
  <si>
    <t>Total Revenue</t>
  </si>
  <si>
    <t>[Total Revenue] := SUM(tblSales[Amount])</t>
  </si>
  <si>
    <t>Sum of all sales</t>
  </si>
  <si>
    <t>Total Qty</t>
  </si>
  <si>
    <t>[Total Qty] := SUM(tblSales[Qty])</t>
  </si>
  <si>
    <t>Sum of all quantities</t>
  </si>
  <si>
    <t>Avg Order Value</t>
  </si>
  <si>
    <t>[Avg Order Value] := DIVIDE([Total Revenue],COUNTROWS(tblSales),0)</t>
  </si>
  <si>
    <t>Revenue ÷ order count</t>
  </si>
  <si>
    <t>Rev % of Total</t>
  </si>
  <si>
    <t>[Rev % of Total] := DIVIDE([Total Revenue],CALCULATE([Total Revenue],ALL(tblCustomers[Region])),0)</t>
  </si>
  <si>
    <t>% share by region</t>
  </si>
  <si>
    <t>Dhaka Revenue</t>
  </si>
  <si>
    <t>[Dhaka Revenue] := CALCULATE([Total Revenue],tblCustomers[Region]="Dhaka")</t>
  </si>
  <si>
    <t>Dhaka-only revenue</t>
  </si>
  <si>
    <t>YTD Revenue</t>
  </si>
  <si>
    <t>[YTD Revenue] := TOTALYTD([Total Revenue],tblDate[Date])</t>
  </si>
  <si>
    <t>Cumulative year revenue</t>
  </si>
  <si>
    <t>LY Revenue</t>
  </si>
  <si>
    <t>[LY Revenue] := CALCULATE([Total Revenue],SAMEPERIODLASTYEAR(tblDate[Date]))</t>
  </si>
  <si>
    <t>Last year same period</t>
  </si>
  <si>
    <t>YoY Growth</t>
  </si>
  <si>
    <t>[YoY Growth] := DIVIDE([Total Revenue]-[LY Revenue],[LY Revenue],0)</t>
  </si>
  <si>
    <t>Year-over-year %</t>
  </si>
  <si>
    <t>LM Revenue</t>
  </si>
  <si>
    <t>[LM Revenue] := CALCULATE([Total Revenue],PREVIOUSMONTH(tblDate[Date]))</t>
  </si>
  <si>
    <t>Previous month</t>
  </si>
  <si>
    <t>💡 Power Pivot-এ measure লেখার পদ্ধতি: Power Pivot window → Home Tab → Calculation Area (নিচের খালি area) → click করে type করো</t>
  </si>
  <si>
    <t>Row Labels</t>
  </si>
  <si>
    <t>Grand Total</t>
  </si>
  <si>
    <t>Column Labels</t>
  </si>
  <si>
    <t>Toal Revenue</t>
  </si>
  <si>
    <t>Total Toal Revenue</t>
  </si>
  <si>
    <t>Total YTD Revenue</t>
  </si>
  <si>
    <t>Total Orders</t>
  </si>
  <si>
    <t>📊 Financial Performance Dashboard | 2023-2024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</si>
</sst>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yy"/>
    <numFmt numFmtId="165" formatCode="\$#,##0.00;\(\$#,##0.00\);\$#,##0.00"/>
  </numFmts>
  <fonts count="15" x14ac:knownFonts="1">
    <font>
      <sz val="11"/>
      <color theme="1"/>
      <name val="Calibri"/>
      <family val="2"/>
      <scheme val="minor"/>
    </font>
    <font>
      <b/>
      <sz val="11"/>
      <color rgb="FF1E3A8A"/>
      <name val="Arial"/>
    </font>
    <font>
      <b/>
      <sz val="11"/>
      <color rgb="FFFFFFFF"/>
      <name val="Arial"/>
    </font>
    <font>
      <sz val="11"/>
      <color rgb="FF111827"/>
      <name val="Arial"/>
    </font>
    <font>
      <b/>
      <sz val="11"/>
      <color rgb="FF065F46"/>
      <name val="Arial"/>
    </font>
    <font>
      <b/>
      <sz val="11"/>
      <color rgb="FF111827"/>
      <name val="Arial"/>
    </font>
    <font>
      <b/>
      <sz val="11"/>
      <color rgb="FF92400E"/>
      <name val="Arial"/>
    </font>
    <font>
      <b/>
      <sz val="11"/>
      <color rgb="FF4C1D95"/>
      <name val="Arial"/>
    </font>
    <font>
      <i/>
      <sz val="10"/>
      <color rgb="FF4C1D95"/>
      <name val="Arial"/>
    </font>
    <font>
      <sz val="10"/>
      <color rgb="FF065F46"/>
      <name val="Arial"/>
    </font>
    <font>
      <sz val="11"/>
      <color rgb="FF666666"/>
      <name val="Calibri"/>
      <family val="2"/>
      <scheme val="minor"/>
    </font>
    <font>
      <sz val="20"/>
      <color theme="1"/>
      <name val="Calibri"/>
      <family val="2"/>
      <scheme val="minor"/>
    </font>
    <font>
      <sz val="20"/>
      <color rgb="FF111827"/>
      <name val="Calibri"/>
      <family val="2"/>
      <scheme val="minor"/>
    </font>
    <font>
      <sz val="18"/>
      <color theme="0"/>
      <name val="Calibri"/>
      <family val="2"/>
      <scheme val="minor"/>
    </font>
    <font>
      <sz val="8"/>
      <name val="Calibri"/>
      <family val="2"/>
      <scheme val="minor"/>
    </font>
  </fonts>
  <fills count="11">
    <fill>
      <patternFill patternType="none"/>
    </fill>
    <fill>
      <patternFill patternType="gray125"/>
    </fill>
    <fill>
      <patternFill patternType="solid">
        <fgColor rgb="FFEFF6FF"/>
      </patternFill>
    </fill>
    <fill>
      <patternFill patternType="solid">
        <fgColor rgb="FF1E3A8A"/>
      </patternFill>
    </fill>
    <fill>
      <patternFill patternType="solid">
        <fgColor rgb="FFECFDF5"/>
      </patternFill>
    </fill>
    <fill>
      <patternFill patternType="solid">
        <fgColor rgb="FFFFFFFF"/>
      </patternFill>
    </fill>
    <fill>
      <patternFill patternType="solid">
        <fgColor rgb="FFFFFBEB"/>
      </patternFill>
    </fill>
    <fill>
      <patternFill patternType="solid">
        <fgColor rgb="FFF5F3FF"/>
      </patternFill>
    </fill>
    <fill>
      <patternFill patternType="solid">
        <fgColor rgb="FFFEF9C3"/>
      </patternFill>
    </fill>
    <fill>
      <patternFill patternType="solid">
        <fgColor rgb="FFEFF6FF"/>
        <bgColor indexed="64"/>
      </patternFill>
    </fill>
    <fill>
      <patternFill patternType="solid">
        <fgColor rgb="FF1E3A8A"/>
        <bgColor indexed="64"/>
      </patternFill>
    </fill>
  </fills>
  <borders count="18">
    <border>
      <left/>
      <right/>
      <top/>
      <bottom/>
      <diagonal/>
    </border>
    <border>
      <left style="thin">
        <color rgb="FFD1D5DB"/>
      </left>
      <right style="thin">
        <color rgb="FFD1D5DB"/>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71">
    <xf numFmtId="0" fontId="0" fillId="0" borderId="0" xfId="0"/>
    <xf numFmtId="0" fontId="1" fillId="2" borderId="0" xfId="0" applyFont="1" applyFill="1" applyAlignment="1">
      <alignment horizontal="left" vertical="center" wrapText="1"/>
    </xf>
    <xf numFmtId="0" fontId="2" fillId="3" borderId="1" xfId="0" applyFont="1" applyFill="1" applyBorder="1" applyAlignment="1">
      <alignment horizontal="center" vertical="center"/>
    </xf>
    <xf numFmtId="0" fontId="3" fillId="0" borderId="1" xfId="0" applyFont="1" applyBorder="1" applyAlignment="1">
      <alignment horizontal="center" vertical="center"/>
    </xf>
    <xf numFmtId="164" fontId="3" fillId="0" borderId="1" xfId="0" applyNumberFormat="1" applyFont="1" applyBorder="1" applyAlignment="1">
      <alignment horizontal="left" vertical="center"/>
    </xf>
    <xf numFmtId="3" fontId="3" fillId="0" borderId="1" xfId="0" applyNumberFormat="1" applyFont="1" applyBorder="1" applyAlignment="1">
      <alignment horizontal="left" vertical="center"/>
    </xf>
    <xf numFmtId="0" fontId="4" fillId="4" borderId="0" xfId="0" applyFont="1" applyFill="1" applyAlignment="1">
      <alignment horizontal="left" vertical="center" wrapText="1"/>
    </xf>
    <xf numFmtId="0" fontId="3" fillId="5" borderId="1" xfId="0" applyFont="1" applyFill="1" applyBorder="1" applyAlignment="1">
      <alignment horizontal="left" vertical="center"/>
    </xf>
    <xf numFmtId="0" fontId="3" fillId="5" borderId="1" xfId="0" applyFont="1" applyFill="1" applyBorder="1" applyAlignment="1">
      <alignment horizontal="center" vertical="center"/>
    </xf>
    <xf numFmtId="3" fontId="3" fillId="5" borderId="1" xfId="0" applyNumberFormat="1" applyFont="1" applyFill="1" applyBorder="1" applyAlignment="1">
      <alignment horizontal="left" vertical="center"/>
    </xf>
    <xf numFmtId="0" fontId="6" fillId="6" borderId="0" xfId="0" applyFont="1" applyFill="1" applyAlignment="1">
      <alignment horizontal="left" vertical="center" wrapText="1"/>
    </xf>
    <xf numFmtId="0" fontId="3" fillId="0" borderId="1" xfId="0" applyFont="1" applyBorder="1" applyAlignment="1">
      <alignment horizontal="left" vertical="center"/>
    </xf>
    <xf numFmtId="0" fontId="7" fillId="7" borderId="0" xfId="0" applyFont="1" applyFill="1" applyAlignment="1">
      <alignment horizontal="left" vertical="center" wrapText="1"/>
    </xf>
    <xf numFmtId="0" fontId="1" fillId="2" borderId="1" xfId="0" applyFont="1" applyFill="1" applyBorder="1" applyAlignment="1">
      <alignment horizontal="left" vertical="center"/>
    </xf>
    <xf numFmtId="0" fontId="8" fillId="7" borderId="1" xfId="0" applyFont="1" applyFill="1" applyBorder="1" applyAlignment="1">
      <alignment horizontal="left" vertical="center"/>
    </xf>
    <xf numFmtId="0" fontId="9" fillId="4" borderId="1" xfId="0" applyFont="1" applyFill="1" applyBorder="1" applyAlignment="1">
      <alignment horizontal="left"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2" fillId="3" borderId="6" xfId="0" applyFont="1" applyFill="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164" fontId="3" fillId="0" borderId="8" xfId="0" applyNumberFormat="1" applyFont="1" applyBorder="1" applyAlignment="1">
      <alignment horizontal="left" vertical="center"/>
    </xf>
    <xf numFmtId="3" fontId="3" fillId="0" borderId="8" xfId="0" applyNumberFormat="1" applyFont="1" applyBorder="1" applyAlignment="1">
      <alignment horizontal="left" vertical="center"/>
    </xf>
    <xf numFmtId="0" fontId="3" fillId="0" borderId="9" xfId="0" applyFont="1" applyBorder="1" applyAlignment="1">
      <alignment horizontal="center" vertical="center"/>
    </xf>
    <xf numFmtId="0" fontId="5" fillId="2" borderId="2" xfId="0" applyFont="1" applyFill="1" applyBorder="1" applyAlignment="1">
      <alignment horizontal="center" vertical="center"/>
    </xf>
    <xf numFmtId="3" fontId="3" fillId="5" borderId="3" xfId="0" applyNumberFormat="1" applyFont="1" applyFill="1" applyBorder="1" applyAlignment="1">
      <alignment horizontal="left" vertical="center"/>
    </xf>
    <xf numFmtId="0" fontId="5" fillId="2" borderId="7" xfId="0" applyFont="1" applyFill="1" applyBorder="1" applyAlignment="1">
      <alignment horizontal="center" vertical="center"/>
    </xf>
    <xf numFmtId="0" fontId="3" fillId="5" borderId="8" xfId="0" applyFont="1" applyFill="1" applyBorder="1" applyAlignment="1">
      <alignment horizontal="left" vertical="center"/>
    </xf>
    <xf numFmtId="0" fontId="3" fillId="5" borderId="8" xfId="0" applyFont="1" applyFill="1" applyBorder="1" applyAlignment="1">
      <alignment horizontal="center" vertical="center"/>
    </xf>
    <xf numFmtId="3" fontId="3" fillId="5" borderId="8" xfId="0" applyNumberFormat="1" applyFont="1" applyFill="1" applyBorder="1" applyAlignment="1">
      <alignment horizontal="left" vertical="center"/>
    </xf>
    <xf numFmtId="3" fontId="3" fillId="5" borderId="9" xfId="0" applyNumberFormat="1" applyFont="1" applyFill="1" applyBorder="1" applyAlignment="1">
      <alignment horizontal="left" vertical="center"/>
    </xf>
    <xf numFmtId="0" fontId="3" fillId="0" borderId="8" xfId="0" applyFont="1" applyBorder="1" applyAlignment="1">
      <alignment horizontal="left" vertical="center"/>
    </xf>
    <xf numFmtId="164" fontId="3" fillId="0" borderId="2" xfId="0" applyNumberFormat="1" applyFont="1" applyBorder="1" applyAlignment="1">
      <alignment horizontal="left" vertical="center"/>
    </xf>
    <xf numFmtId="0" fontId="3" fillId="8" borderId="3" xfId="0" applyFont="1" applyFill="1" applyBorder="1" applyAlignment="1">
      <alignment horizontal="center" vertical="center"/>
    </xf>
    <xf numFmtId="0" fontId="3" fillId="5" borderId="3" xfId="0" applyFont="1" applyFill="1" applyBorder="1" applyAlignment="1">
      <alignment horizontal="center" vertical="center"/>
    </xf>
    <xf numFmtId="164" fontId="3" fillId="0" borderId="7" xfId="0" applyNumberFormat="1" applyFont="1" applyBorder="1" applyAlignment="1">
      <alignment horizontal="left" vertical="center"/>
    </xf>
    <xf numFmtId="0" fontId="3" fillId="5" borderId="9" xfId="0" applyFont="1" applyFill="1" applyBorder="1" applyAlignment="1">
      <alignment horizontal="center" vertical="center"/>
    </xf>
    <xf numFmtId="0" fontId="0" fillId="0" borderId="0" xfId="0" pivotButton="1"/>
    <xf numFmtId="0" fontId="0" fillId="0" borderId="0" xfId="0" applyAlignment="1">
      <alignment horizontal="left"/>
    </xf>
    <xf numFmtId="165" fontId="0" fillId="0" borderId="0" xfId="0" applyNumberFormat="1"/>
    <xf numFmtId="0" fontId="0" fillId="0" borderId="0" xfId="0" applyAlignment="1">
      <alignment vertical="center"/>
    </xf>
    <xf numFmtId="0" fontId="10" fillId="9" borderId="10" xfId="0" applyFont="1" applyFill="1" applyBorder="1" applyAlignment="1">
      <alignment horizontal="center" vertical="center"/>
    </xf>
    <xf numFmtId="0" fontId="10" fillId="9" borderId="11" xfId="0" applyFont="1" applyFill="1" applyBorder="1" applyAlignment="1">
      <alignment horizontal="center" vertical="center"/>
    </xf>
    <xf numFmtId="0" fontId="10" fillId="9" borderId="12" xfId="0" applyFont="1" applyFill="1" applyBorder="1" applyAlignment="1">
      <alignment horizontal="center" vertical="center"/>
    </xf>
    <xf numFmtId="0" fontId="10" fillId="9" borderId="13" xfId="0" applyFont="1" applyFill="1" applyBorder="1" applyAlignment="1">
      <alignment horizontal="center" vertical="center"/>
    </xf>
    <xf numFmtId="0" fontId="10" fillId="9" borderId="0" xfId="0" applyFont="1" applyFill="1" applyAlignment="1">
      <alignment horizontal="center" vertical="center"/>
    </xf>
    <xf numFmtId="0" fontId="10" fillId="9" borderId="14" xfId="0" applyFont="1" applyFill="1" applyBorder="1" applyAlignment="1">
      <alignment horizontal="center" vertical="center"/>
    </xf>
    <xf numFmtId="0" fontId="11" fillId="9" borderId="13" xfId="0" applyFont="1" applyFill="1" applyBorder="1" applyAlignment="1">
      <alignment horizontal="center" vertical="center"/>
    </xf>
    <xf numFmtId="0" fontId="11" fillId="9" borderId="0" xfId="0" applyFont="1" applyFill="1" applyAlignment="1">
      <alignment horizontal="center" vertical="center"/>
    </xf>
    <xf numFmtId="0" fontId="11" fillId="9" borderId="14" xfId="0" applyFont="1" applyFill="1" applyBorder="1" applyAlignment="1">
      <alignment horizontal="center" vertical="center"/>
    </xf>
    <xf numFmtId="0" fontId="11" fillId="9" borderId="15" xfId="0" applyFont="1" applyFill="1" applyBorder="1" applyAlignment="1">
      <alignment horizontal="center" vertical="center"/>
    </xf>
    <xf numFmtId="0" fontId="11" fillId="9" borderId="16" xfId="0" applyFont="1" applyFill="1" applyBorder="1" applyAlignment="1">
      <alignment horizontal="center" vertical="center"/>
    </xf>
    <xf numFmtId="0" fontId="11" fillId="9" borderId="17" xfId="0" applyFont="1" applyFill="1" applyBorder="1" applyAlignment="1">
      <alignment horizontal="center" vertical="center"/>
    </xf>
    <xf numFmtId="0" fontId="13" fillId="10" borderId="0" xfId="0" applyFont="1" applyFill="1" applyAlignment="1">
      <alignment horizontal="center" vertical="center"/>
    </xf>
    <xf numFmtId="3" fontId="12" fillId="9" borderId="13" xfId="0" applyNumberFormat="1" applyFont="1" applyFill="1" applyBorder="1" applyAlignment="1">
      <alignment horizontal="center" vertical="center"/>
    </xf>
    <xf numFmtId="0" fontId="12" fillId="9" borderId="0" xfId="0" applyFont="1" applyFill="1" applyAlignment="1">
      <alignment horizontal="center" vertical="center"/>
    </xf>
    <xf numFmtId="0" fontId="12" fillId="9" borderId="14" xfId="0" applyFont="1" applyFill="1" applyBorder="1" applyAlignment="1">
      <alignment horizontal="center" vertical="center"/>
    </xf>
    <xf numFmtId="0" fontId="12" fillId="9" borderId="13" xfId="0" applyFont="1" applyFill="1" applyBorder="1" applyAlignment="1">
      <alignment horizontal="center" vertical="center"/>
    </xf>
    <xf numFmtId="0" fontId="12" fillId="9" borderId="15" xfId="0" applyFont="1" applyFill="1" applyBorder="1" applyAlignment="1">
      <alignment horizontal="center" vertical="center"/>
    </xf>
    <xf numFmtId="0" fontId="12" fillId="9" borderId="16" xfId="0" applyFont="1" applyFill="1" applyBorder="1" applyAlignment="1">
      <alignment horizontal="center" vertical="center"/>
    </xf>
    <xf numFmtId="0" fontId="12" fillId="9" borderId="17" xfId="0" applyFont="1" applyFill="1" applyBorder="1" applyAlignment="1">
      <alignment horizontal="center" vertical="center"/>
    </xf>
    <xf numFmtId="10" fontId="11" fillId="9" borderId="13" xfId="0" applyNumberFormat="1" applyFont="1" applyFill="1" applyBorder="1" applyAlignment="1">
      <alignment horizontal="center" vertical="center"/>
    </xf>
    <xf numFmtId="10" fontId="11" fillId="9" borderId="0" xfId="0" applyNumberFormat="1" applyFont="1" applyFill="1" applyAlignment="1">
      <alignment horizontal="center" vertical="center"/>
    </xf>
    <xf numFmtId="10" fontId="11" fillId="9" borderId="14" xfId="0" applyNumberFormat="1" applyFont="1" applyFill="1" applyBorder="1" applyAlignment="1">
      <alignment horizontal="center" vertical="center"/>
    </xf>
    <xf numFmtId="10" fontId="11" fillId="9" borderId="15" xfId="0" applyNumberFormat="1" applyFont="1" applyFill="1" applyBorder="1" applyAlignment="1">
      <alignment horizontal="center" vertical="center"/>
    </xf>
    <xf numFmtId="10" fontId="11" fillId="9" borderId="16" xfId="0" applyNumberFormat="1" applyFont="1" applyFill="1" applyBorder="1" applyAlignment="1">
      <alignment horizontal="center" vertical="center"/>
    </xf>
    <xf numFmtId="10" fontId="11" fillId="9" borderId="17" xfId="0" applyNumberFormat="1" applyFont="1" applyFill="1" applyBorder="1" applyAlignment="1">
      <alignment horizontal="center" vertical="center"/>
    </xf>
    <xf numFmtId="0" fontId="8" fillId="0" borderId="0" xfId="0" applyFont="1" applyAlignment="1">
      <alignment horizontal="left" vertical="center" wrapText="1"/>
    </xf>
    <xf numFmtId="0" fontId="0" fillId="0" borderId="0" xfId="0"/>
  </cellXfs>
  <cellStyles count="1">
    <cellStyle name="Normal" xfId="0" builtinId="0"/>
  </cellStyles>
  <dxfs count="39">
    <dxf>
      <font>
        <b val="0"/>
        <i val="0"/>
        <strike val="0"/>
        <condense val="0"/>
        <extend val="0"/>
        <outline val="0"/>
        <shadow val="0"/>
        <u val="none"/>
        <vertAlign val="baseline"/>
        <sz val="11"/>
        <color rgb="FF111827"/>
        <name val="Arial"/>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D1D5DB"/>
        </left>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alignment horizontal="center"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alignment horizontal="center"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alignment horizontal="center"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alignment horizontal="center"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alignment horizontal="center"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numFmt numFmtId="164" formatCode="dd\-mmm\-yy"/>
      <alignment horizontal="left" vertical="center" textRotation="0" wrapText="0" indent="0" justifyLastLine="0" shrinkToFit="0" readingOrder="0"/>
      <border diagonalUp="0" diagonalDown="0">
        <left/>
        <right style="thin">
          <color rgb="FFD1D5DB"/>
        </right>
        <top style="thin">
          <color rgb="FFD1D5DB"/>
        </top>
        <bottom style="thin">
          <color rgb="FFD1D5DB"/>
        </bottom>
        <vertical/>
        <horizontal/>
      </border>
    </dxf>
    <dxf>
      <border outline="0">
        <top style="thin">
          <color rgb="FFD1D5DB"/>
        </top>
      </border>
    </dxf>
    <dxf>
      <border outline="0">
        <left style="thin">
          <color rgb="FFD1D5DB"/>
        </left>
        <right style="thin">
          <color rgb="FFD1D5DB"/>
        </right>
        <top style="thin">
          <color rgb="FFD1D5DB"/>
        </top>
        <bottom style="thin">
          <color rgb="FFD1D5DB"/>
        </bottom>
      </border>
    </dxf>
    <dxf>
      <font>
        <b val="0"/>
        <i val="0"/>
        <strike val="0"/>
        <condense val="0"/>
        <extend val="0"/>
        <outline val="0"/>
        <shadow val="0"/>
        <u val="none"/>
        <vertAlign val="baseline"/>
        <sz val="11"/>
        <color rgb="FF111827"/>
        <name val="Arial"/>
        <scheme val="none"/>
      </font>
      <alignment horizontal="center" vertical="center" textRotation="0" wrapText="0" indent="0" justifyLastLine="0" shrinkToFit="0" readingOrder="0"/>
    </dxf>
    <dxf>
      <border outline="0">
        <bottom style="thin">
          <color rgb="FFD1D5DB"/>
        </bottom>
      </border>
    </dxf>
    <dxf>
      <font>
        <b/>
        <i val="0"/>
        <strike val="0"/>
        <condense val="0"/>
        <extend val="0"/>
        <outline val="0"/>
        <shadow val="0"/>
        <u val="none"/>
        <vertAlign val="baseline"/>
        <sz val="11"/>
        <color rgb="FFFFFFFF"/>
        <name val="Arial"/>
        <scheme val="none"/>
      </font>
      <fill>
        <patternFill patternType="solid">
          <fgColor indexed="64"/>
          <bgColor rgb="FF1E3A8A"/>
        </patternFill>
      </fill>
      <alignment horizontal="center" vertical="center" textRotation="0" wrapText="0" indent="0" justifyLastLine="0" shrinkToFit="0" readingOrder="0"/>
      <border diagonalUp="0" diagonalDown="0" outline="0">
        <left style="thin">
          <color rgb="FFD1D5DB"/>
        </left>
        <right style="thin">
          <color rgb="FFD1D5DB"/>
        </right>
        <top/>
        <bottom/>
      </border>
    </dxf>
    <dxf>
      <font>
        <b val="0"/>
        <i val="0"/>
        <strike val="0"/>
        <condense val="0"/>
        <extend val="0"/>
        <outline val="0"/>
        <shadow val="0"/>
        <u val="none"/>
        <vertAlign val="baseline"/>
        <sz val="11"/>
        <color rgb="FF111827"/>
        <name val="Arial"/>
        <scheme val="none"/>
      </font>
      <alignment horizontal="center" vertical="center" textRotation="0" wrapText="0" indent="0" justifyLastLine="0" shrinkToFit="0" readingOrder="0"/>
      <border diagonalUp="0" diagonalDown="0">
        <left style="thin">
          <color rgb="FFD1D5DB"/>
        </left>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alignment horizontal="left"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alignment horizontal="left"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i val="0"/>
        <strike val="0"/>
        <condense val="0"/>
        <extend val="0"/>
        <outline val="0"/>
        <shadow val="0"/>
        <u val="none"/>
        <vertAlign val="baseline"/>
        <sz val="11"/>
        <color rgb="FF111827"/>
        <name val="Arial"/>
        <scheme val="none"/>
      </font>
      <fill>
        <patternFill patternType="solid">
          <fgColor indexed="64"/>
          <bgColor rgb="FFEFF6FF"/>
        </patternFill>
      </fill>
      <alignment horizontal="center" vertical="center" textRotation="0" wrapText="0" indent="0" justifyLastLine="0" shrinkToFit="0" readingOrder="0"/>
      <border diagonalUp="0" diagonalDown="0">
        <left/>
        <right style="thin">
          <color rgb="FFD1D5DB"/>
        </right>
        <top style="thin">
          <color rgb="FFD1D5DB"/>
        </top>
        <bottom style="thin">
          <color rgb="FFD1D5DB"/>
        </bottom>
        <vertical/>
        <horizontal/>
      </border>
    </dxf>
    <dxf>
      <border outline="0">
        <top style="thin">
          <color rgb="FFD1D5DB"/>
        </top>
      </border>
    </dxf>
    <dxf>
      <border outline="0">
        <left style="thin">
          <color rgb="FFD1D5DB"/>
        </left>
        <right style="thin">
          <color rgb="FFD1D5DB"/>
        </right>
        <top style="thin">
          <color rgb="FFD1D5DB"/>
        </top>
        <bottom style="thin">
          <color rgb="FFD1D5DB"/>
        </bottom>
      </border>
    </dxf>
    <dxf>
      <border outline="0">
        <bottom style="thin">
          <color rgb="FFD1D5DB"/>
        </bottom>
      </border>
    </dxf>
    <dxf>
      <font>
        <b/>
        <i val="0"/>
        <strike val="0"/>
        <condense val="0"/>
        <extend val="0"/>
        <outline val="0"/>
        <shadow val="0"/>
        <u val="none"/>
        <vertAlign val="baseline"/>
        <sz val="11"/>
        <color rgb="FFFFFFFF"/>
        <name val="Arial"/>
        <scheme val="none"/>
      </font>
      <fill>
        <patternFill patternType="solid">
          <fgColor indexed="64"/>
          <bgColor rgb="FF1E3A8A"/>
        </patternFill>
      </fill>
      <alignment horizontal="center" vertical="center" textRotation="0" wrapText="0" indent="0" justifyLastLine="0" shrinkToFit="0" readingOrder="0"/>
      <border diagonalUp="0" diagonalDown="0" outline="0">
        <left style="thin">
          <color rgb="FFD1D5DB"/>
        </left>
        <right style="thin">
          <color rgb="FFD1D5DB"/>
        </right>
        <top/>
        <bottom/>
      </border>
    </dxf>
    <dxf>
      <font>
        <b val="0"/>
        <i val="0"/>
        <strike val="0"/>
        <condense val="0"/>
        <extend val="0"/>
        <outline val="0"/>
        <shadow val="0"/>
        <u val="none"/>
        <vertAlign val="baseline"/>
        <sz val="11"/>
        <color rgb="FF111827"/>
        <name val="Arial"/>
        <scheme val="none"/>
      </font>
      <numFmt numFmtId="3" formatCode="#,##0"/>
      <fill>
        <patternFill patternType="solid">
          <fgColor indexed="64"/>
          <bgColor rgb="FFFFFFFF"/>
        </patternFill>
      </fill>
      <alignment horizontal="left" vertical="center" textRotation="0" wrapText="0" indent="0" justifyLastLine="0" shrinkToFit="0" readingOrder="0"/>
      <border diagonalUp="0" diagonalDown="0">
        <left style="thin">
          <color rgb="FFD1D5DB"/>
        </left>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numFmt numFmtId="3" formatCode="#,##0"/>
      <fill>
        <patternFill patternType="solid">
          <fgColor indexed="64"/>
          <bgColor rgb="FFFFFFFF"/>
        </patternFill>
      </fill>
      <alignment horizontal="left"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fill>
        <patternFill patternType="solid">
          <fgColor indexed="64"/>
          <bgColor rgb="FFFFFFFF"/>
        </patternFill>
      </fill>
      <alignment horizontal="left"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i val="0"/>
        <strike val="0"/>
        <condense val="0"/>
        <extend val="0"/>
        <outline val="0"/>
        <shadow val="0"/>
        <u val="none"/>
        <vertAlign val="baseline"/>
        <sz val="11"/>
        <color rgb="FF111827"/>
        <name val="Arial"/>
        <scheme val="none"/>
      </font>
      <fill>
        <patternFill patternType="solid">
          <fgColor indexed="64"/>
          <bgColor rgb="FFEFF6FF"/>
        </patternFill>
      </fill>
      <alignment horizontal="center" vertical="center" textRotation="0" wrapText="0" indent="0" justifyLastLine="0" shrinkToFit="0" readingOrder="0"/>
      <border diagonalUp="0" diagonalDown="0">
        <left/>
        <right style="thin">
          <color rgb="FFD1D5DB"/>
        </right>
        <top style="thin">
          <color rgb="FFD1D5DB"/>
        </top>
        <bottom style="thin">
          <color rgb="FFD1D5DB"/>
        </bottom>
        <vertical/>
        <horizontal/>
      </border>
    </dxf>
    <dxf>
      <border outline="0">
        <top style="thin">
          <color rgb="FFD1D5DB"/>
        </top>
      </border>
    </dxf>
    <dxf>
      <border outline="0">
        <left style="thin">
          <color rgb="FFD1D5DB"/>
        </left>
        <right style="thin">
          <color rgb="FFD1D5DB"/>
        </right>
        <top style="thin">
          <color rgb="FFD1D5DB"/>
        </top>
        <bottom style="thin">
          <color rgb="FFD1D5DB"/>
        </bottom>
      </border>
    </dxf>
    <dxf>
      <border outline="0">
        <bottom style="thin">
          <color rgb="FFD1D5DB"/>
        </bottom>
      </border>
    </dxf>
    <dxf>
      <font>
        <b/>
        <i val="0"/>
        <strike val="0"/>
        <condense val="0"/>
        <extend val="0"/>
        <outline val="0"/>
        <shadow val="0"/>
        <u val="none"/>
        <vertAlign val="baseline"/>
        <sz val="11"/>
        <color rgb="FFFFFFFF"/>
        <name val="Arial"/>
        <scheme val="none"/>
      </font>
      <fill>
        <patternFill patternType="solid">
          <fgColor indexed="64"/>
          <bgColor rgb="FF1E3A8A"/>
        </patternFill>
      </fill>
      <alignment horizontal="center" vertical="center" textRotation="0" wrapText="0" indent="0" justifyLastLine="0" shrinkToFit="0" readingOrder="0"/>
      <border diagonalUp="0" diagonalDown="0" outline="0">
        <left style="thin">
          <color rgb="FFD1D5DB"/>
        </left>
        <right style="thin">
          <color rgb="FFD1D5DB"/>
        </right>
        <top/>
        <bottom/>
      </border>
    </dxf>
    <dxf>
      <font>
        <b val="0"/>
        <i val="0"/>
        <strike val="0"/>
        <condense val="0"/>
        <extend val="0"/>
        <outline val="0"/>
        <shadow val="0"/>
        <u val="none"/>
        <vertAlign val="baseline"/>
        <sz val="11"/>
        <color rgb="FF111827"/>
        <name val="Arial"/>
        <scheme val="none"/>
      </font>
      <alignment horizontal="center" vertical="center" textRotation="0" wrapText="0" indent="0" justifyLastLine="0" shrinkToFit="0" readingOrder="0"/>
      <border diagonalUp="0" diagonalDown="0">
        <left style="thin">
          <color rgb="FFD1D5DB"/>
        </left>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numFmt numFmtId="3" formatCode="#,##0"/>
      <alignment horizontal="left"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numFmt numFmtId="164" formatCode="dd\-mmm\-yy"/>
      <alignment horizontal="left"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alignment horizontal="center"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alignment horizontal="center" vertical="center" textRotation="0" wrapText="0" indent="0" justifyLastLine="0" shrinkToFit="0" readingOrder="0"/>
      <border diagonalUp="0" diagonalDown="0">
        <left style="thin">
          <color rgb="FFD1D5DB"/>
        </left>
        <right style="thin">
          <color rgb="FFD1D5DB"/>
        </right>
        <top style="thin">
          <color rgb="FFD1D5DB"/>
        </top>
        <bottom style="thin">
          <color rgb="FFD1D5DB"/>
        </bottom>
        <vertical/>
        <horizontal/>
      </border>
    </dxf>
    <dxf>
      <font>
        <b val="0"/>
        <i val="0"/>
        <strike val="0"/>
        <condense val="0"/>
        <extend val="0"/>
        <outline val="0"/>
        <shadow val="0"/>
        <u val="none"/>
        <vertAlign val="baseline"/>
        <sz val="11"/>
        <color rgb="FF111827"/>
        <name val="Arial"/>
        <scheme val="none"/>
      </font>
      <alignment horizontal="center" vertical="center" textRotation="0" wrapText="0" indent="0" justifyLastLine="0" shrinkToFit="0" readingOrder="0"/>
      <border diagonalUp="0" diagonalDown="0">
        <left/>
        <right style="thin">
          <color rgb="FFD1D5DB"/>
        </right>
        <top style="thin">
          <color rgb="FFD1D5DB"/>
        </top>
        <bottom style="thin">
          <color rgb="FFD1D5DB"/>
        </bottom>
        <vertical/>
        <horizontal/>
      </border>
    </dxf>
    <dxf>
      <border outline="0">
        <top style="thin">
          <color rgb="FFD1D5DB"/>
        </top>
      </border>
    </dxf>
    <dxf>
      <border outline="0">
        <left style="thin">
          <color rgb="FFD1D5DB"/>
        </left>
        <right style="thin">
          <color rgb="FFD1D5DB"/>
        </right>
        <top style="thin">
          <color rgb="FFD1D5DB"/>
        </top>
        <bottom style="thin">
          <color rgb="FFD1D5DB"/>
        </bottom>
      </border>
    </dxf>
    <dxf>
      <border outline="0">
        <bottom style="thin">
          <color rgb="FFD1D5DB"/>
        </bottom>
      </border>
    </dxf>
    <dxf>
      <font>
        <b/>
        <i val="0"/>
        <strike val="0"/>
        <condense val="0"/>
        <extend val="0"/>
        <outline val="0"/>
        <shadow val="0"/>
        <u val="none"/>
        <vertAlign val="baseline"/>
        <sz val="11"/>
        <color rgb="FFFFFFFF"/>
        <name val="Arial"/>
        <scheme val="none"/>
      </font>
      <fill>
        <patternFill patternType="solid">
          <fgColor indexed="64"/>
          <bgColor rgb="FF1E3A8A"/>
        </patternFill>
      </fill>
      <alignment horizontal="center" vertical="center" textRotation="0" wrapText="0" indent="0" justifyLastLine="0" shrinkToFit="0" readingOrder="0"/>
      <border diagonalUp="0" diagonalDown="0" outline="0">
        <left style="thin">
          <color rgb="FFD1D5DB"/>
        </left>
        <right style="thin">
          <color rgb="FFD1D5DB"/>
        </right>
        <top/>
        <bottom/>
      </border>
    </dxf>
  </dxfs>
  <tableStyles count="0" defaultTableStyle="TableStyleMedium9" defaultPivotStyle="PivotStyleLight16"/>
  <colors>
    <mruColors>
      <color rgb="FF1E3A8A"/>
      <color rgb="FF111827"/>
      <color rgb="FFDBEAFE"/>
      <color rgb="FFD1D5DB"/>
      <color rgb="FFEFF6FF"/>
      <color rgb="FF6666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I5" s="7"/>
      </tp>
    </main>
  </volType>
</volTypes>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volatileDependencies" Target="volatileDependencies.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3.xml"/><Relationship Id="rId19" Type="http://schemas.openxmlformats.org/officeDocument/2006/relationships/calcChain" Target="calcChain.xml"/><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connections" Target="connections.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[Day8_PowerPivot_Dataset.xlsx]Pivot!PivotTable1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Revenue by Region 2023-2024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Pivot!$B$3:$B$5</c:f>
              <c:strCache>
                <c:ptCount val="1"/>
                <c:pt idx="0">
                  <c:v>2023 - Toal Revenue</c:v>
                </c:pt>
              </c:strCache>
            </c:strRef>
          </c:tx>
          <c:spPr>
            <a:solidFill>
              <a:schemeClr val="accent1"/>
            </a:solidFill>
            <a:ln>
              <a:noFill/>
            </a:ln>
            <a:effectLst/>
          </c:spPr>
          <c:invertIfNegative val="0"/>
          <c:cat>
            <c:strRef>
              <c:f>Pivot!$A$6:$A$11</c:f>
              <c:strCache>
                <c:ptCount val="5"/>
                <c:pt idx="0">
                  <c:v>CTG</c:v>
                </c:pt>
                <c:pt idx="1">
                  <c:v>Dhaka</c:v>
                </c:pt>
                <c:pt idx="2">
                  <c:v>Khulna</c:v>
                </c:pt>
                <c:pt idx="3">
                  <c:v>Rajshahi</c:v>
                </c:pt>
                <c:pt idx="4">
                  <c:v>Sylhet</c:v>
                </c:pt>
              </c:strCache>
            </c:strRef>
          </c:cat>
          <c:val>
            <c:numRef>
              <c:f>Pivot!$B$6:$B$11</c:f>
              <c:numCache>
                <c:formatCode>\$#,##0.00;\(\$#,##0.00\);\$#,##0.00</c:formatCode>
                <c:ptCount val="5"/>
                <c:pt idx="0">
                  <c:v>872800</c:v>
                </c:pt>
                <c:pt idx="1">
                  <c:v>821600</c:v>
                </c:pt>
                <c:pt idx="2">
                  <c:v>615100</c:v>
                </c:pt>
                <c:pt idx="3">
                  <c:v>528900</c:v>
                </c:pt>
                <c:pt idx="4">
                  <c:v>881600</c:v>
                </c:pt>
              </c:numCache>
            </c:numRef>
          </c:val>
          <c:extLst>
            <c:ext xmlns:c16="http://schemas.microsoft.com/office/drawing/2014/chart" uri="{C3380CC4-5D6E-409C-BE32-E72D297353CC}">
              <c16:uniqueId val="{00000000-09AD-4CAA-9BBF-4022871196B3}"/>
            </c:ext>
          </c:extLst>
        </c:ser>
        <c:ser>
          <c:idx val="1"/>
          <c:order val="1"/>
          <c:tx>
            <c:strRef>
              <c:f>Pivot!$C$3:$C$5</c:f>
              <c:strCache>
                <c:ptCount val="1"/>
                <c:pt idx="0">
                  <c:v>2023 - YTD Revenue</c:v>
                </c:pt>
              </c:strCache>
            </c:strRef>
          </c:tx>
          <c:spPr>
            <a:solidFill>
              <a:schemeClr val="accent2"/>
            </a:solidFill>
            <a:ln>
              <a:noFill/>
            </a:ln>
            <a:effectLst/>
          </c:spPr>
          <c:invertIfNegative val="0"/>
          <c:cat>
            <c:strRef>
              <c:f>Pivot!$A$6:$A$11</c:f>
              <c:strCache>
                <c:ptCount val="5"/>
                <c:pt idx="0">
                  <c:v>CTG</c:v>
                </c:pt>
                <c:pt idx="1">
                  <c:v>Dhaka</c:v>
                </c:pt>
                <c:pt idx="2">
                  <c:v>Khulna</c:v>
                </c:pt>
                <c:pt idx="3">
                  <c:v>Rajshahi</c:v>
                </c:pt>
                <c:pt idx="4">
                  <c:v>Sylhet</c:v>
                </c:pt>
              </c:strCache>
            </c:strRef>
          </c:cat>
          <c:val>
            <c:numRef>
              <c:f>Pivot!$C$6:$C$11</c:f>
              <c:numCache>
                <c:formatCode>\$#,##0.00;\(\$#,##0.00\);\$#,##0.00</c:formatCode>
                <c:ptCount val="5"/>
                <c:pt idx="0">
                  <c:v>872800</c:v>
                </c:pt>
                <c:pt idx="1">
                  <c:v>821600</c:v>
                </c:pt>
                <c:pt idx="2">
                  <c:v>615100</c:v>
                </c:pt>
                <c:pt idx="3">
                  <c:v>528900</c:v>
                </c:pt>
                <c:pt idx="4">
                  <c:v>881600</c:v>
                </c:pt>
              </c:numCache>
            </c:numRef>
          </c:val>
          <c:extLst>
            <c:ext xmlns:c16="http://schemas.microsoft.com/office/drawing/2014/chart" uri="{C3380CC4-5D6E-409C-BE32-E72D297353CC}">
              <c16:uniqueId val="{00000001-09AD-4CAA-9BBF-4022871196B3}"/>
            </c:ext>
          </c:extLst>
        </c:ser>
        <c:ser>
          <c:idx val="2"/>
          <c:order val="2"/>
          <c:tx>
            <c:strRef>
              <c:f>Pivot!$D$3:$D$5</c:f>
              <c:strCache>
                <c:ptCount val="1"/>
                <c:pt idx="0">
                  <c:v>2024 - Toal Revenue</c:v>
                </c:pt>
              </c:strCache>
            </c:strRef>
          </c:tx>
          <c:spPr>
            <a:solidFill>
              <a:schemeClr val="accent3"/>
            </a:solidFill>
            <a:ln>
              <a:noFill/>
            </a:ln>
            <a:effectLst/>
          </c:spPr>
          <c:invertIfNegative val="0"/>
          <c:cat>
            <c:strRef>
              <c:f>Pivot!$A$6:$A$11</c:f>
              <c:strCache>
                <c:ptCount val="5"/>
                <c:pt idx="0">
                  <c:v>CTG</c:v>
                </c:pt>
                <c:pt idx="1">
                  <c:v>Dhaka</c:v>
                </c:pt>
                <c:pt idx="2">
                  <c:v>Khulna</c:v>
                </c:pt>
                <c:pt idx="3">
                  <c:v>Rajshahi</c:v>
                </c:pt>
                <c:pt idx="4">
                  <c:v>Sylhet</c:v>
                </c:pt>
              </c:strCache>
            </c:strRef>
          </c:cat>
          <c:val>
            <c:numRef>
              <c:f>Pivot!$D$6:$D$11</c:f>
              <c:numCache>
                <c:formatCode>\$#,##0.00;\(\$#,##0.00\);\$#,##0.00</c:formatCode>
                <c:ptCount val="5"/>
                <c:pt idx="0">
                  <c:v>558100</c:v>
                </c:pt>
                <c:pt idx="1">
                  <c:v>727100</c:v>
                </c:pt>
                <c:pt idx="2">
                  <c:v>671300</c:v>
                </c:pt>
                <c:pt idx="3">
                  <c:v>602500</c:v>
                </c:pt>
                <c:pt idx="4">
                  <c:v>584200</c:v>
                </c:pt>
              </c:numCache>
            </c:numRef>
          </c:val>
          <c:extLst>
            <c:ext xmlns:c16="http://schemas.microsoft.com/office/drawing/2014/chart" uri="{C3380CC4-5D6E-409C-BE32-E72D297353CC}">
              <c16:uniqueId val="{00000002-09AD-4CAA-9BBF-4022871196B3}"/>
            </c:ext>
          </c:extLst>
        </c:ser>
        <c:ser>
          <c:idx val="3"/>
          <c:order val="3"/>
          <c:tx>
            <c:strRef>
              <c:f>Pivot!$E$3:$E$5</c:f>
              <c:strCache>
                <c:ptCount val="1"/>
                <c:pt idx="0">
                  <c:v>2024 - YTD Revenue</c:v>
                </c:pt>
              </c:strCache>
            </c:strRef>
          </c:tx>
          <c:spPr>
            <a:solidFill>
              <a:schemeClr val="accent4"/>
            </a:solidFill>
            <a:ln>
              <a:noFill/>
            </a:ln>
            <a:effectLst/>
          </c:spPr>
          <c:invertIfNegative val="0"/>
          <c:cat>
            <c:strRef>
              <c:f>Pivot!$A$6:$A$11</c:f>
              <c:strCache>
                <c:ptCount val="5"/>
                <c:pt idx="0">
                  <c:v>CTG</c:v>
                </c:pt>
                <c:pt idx="1">
                  <c:v>Dhaka</c:v>
                </c:pt>
                <c:pt idx="2">
                  <c:v>Khulna</c:v>
                </c:pt>
                <c:pt idx="3">
                  <c:v>Rajshahi</c:v>
                </c:pt>
                <c:pt idx="4">
                  <c:v>Sylhet</c:v>
                </c:pt>
              </c:strCache>
            </c:strRef>
          </c:cat>
          <c:val>
            <c:numRef>
              <c:f>Pivot!$E$6:$E$11</c:f>
              <c:numCache>
                <c:formatCode>\$#,##0.00;\(\$#,##0.00\);\$#,##0.00</c:formatCode>
                <c:ptCount val="5"/>
                <c:pt idx="0">
                  <c:v>558100</c:v>
                </c:pt>
                <c:pt idx="1">
                  <c:v>727100</c:v>
                </c:pt>
                <c:pt idx="2">
                  <c:v>671300</c:v>
                </c:pt>
                <c:pt idx="3">
                  <c:v>602500</c:v>
                </c:pt>
                <c:pt idx="4">
                  <c:v>584200</c:v>
                </c:pt>
              </c:numCache>
            </c:numRef>
          </c:val>
          <c:extLst>
            <c:ext xmlns:c16="http://schemas.microsoft.com/office/drawing/2014/chart" uri="{C3380CC4-5D6E-409C-BE32-E72D297353CC}">
              <c16:uniqueId val="{00000007-09AD-4CAA-9BBF-4022871196B3}"/>
            </c:ext>
          </c:extLst>
        </c:ser>
        <c:dLbls>
          <c:showLegendKey val="0"/>
          <c:showVal val="0"/>
          <c:showCatName val="0"/>
          <c:showSerName val="0"/>
          <c:showPercent val="0"/>
          <c:showBubbleSize val="0"/>
        </c:dLbls>
        <c:gapWidth val="219"/>
        <c:overlap val="-27"/>
        <c:axId val="423065440"/>
        <c:axId val="423064960"/>
      </c:barChart>
      <c:catAx>
        <c:axId val="423065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064960"/>
        <c:crosses val="autoZero"/>
        <c:auto val="1"/>
        <c:lblAlgn val="ctr"/>
        <c:lblOffset val="100"/>
        <c:noMultiLvlLbl val="0"/>
      </c:catAx>
      <c:valAx>
        <c:axId val="423064960"/>
        <c:scaling>
          <c:orientation val="minMax"/>
        </c:scaling>
        <c:delete val="0"/>
        <c:axPos val="l"/>
        <c:majorGridlines>
          <c:spPr>
            <a:ln w="9525" cap="flat" cmpd="sng" algn="ctr">
              <a:no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065440"/>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33173</xdr:rowOff>
    </xdr:from>
    <xdr:to>
      <xdr:col>14</xdr:col>
      <xdr:colOff>600075</xdr:colOff>
      <xdr:row>23</xdr:row>
      <xdr:rowOff>0</xdr:rowOff>
    </xdr:to>
    <xdr:graphicFrame macro="">
      <xdr:nvGraphicFramePr>
        <xdr:cNvPr id="2" name="Chart 1">
          <a:extLst>
            <a:ext uri="{FF2B5EF4-FFF2-40B4-BE49-F238E27FC236}">
              <a16:creationId xmlns:a16="http://schemas.microsoft.com/office/drawing/2014/main" id="{241C0B73-C5C7-DD43-2DAB-E7CE686050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571500</xdr:colOff>
      <xdr:row>10</xdr:row>
      <xdr:rowOff>133351</xdr:rowOff>
    </xdr:from>
    <xdr:to>
      <xdr:col>18</xdr:col>
      <xdr:colOff>28575</xdr:colOff>
      <xdr:row>23</xdr:row>
      <xdr:rowOff>38102</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1B7AB94F-5BA4-419C-AC97-C0A274F5745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706131" y="2116425"/>
              <a:ext cx="1284001" cy="23406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9524</xdr:colOff>
      <xdr:row>1</xdr:row>
      <xdr:rowOff>0</xdr:rowOff>
    </xdr:from>
    <xdr:to>
      <xdr:col>18</xdr:col>
      <xdr:colOff>624</xdr:colOff>
      <xdr:row>8</xdr:row>
      <xdr:rowOff>188406</xdr:rowOff>
    </xdr:to>
    <mc:AlternateContent xmlns:mc="http://schemas.openxmlformats.org/markup-compatibility/2006" xmlns:a14="http://schemas.microsoft.com/office/drawing/2010/main">
      <mc:Choice Requires="a14">
        <xdr:graphicFrame macro="">
          <xdr:nvGraphicFramePr>
            <xdr:cNvPr id="4" name="Year">
              <a:extLst>
                <a:ext uri="{FF2B5EF4-FFF2-40B4-BE49-F238E27FC236}">
                  <a16:creationId xmlns:a16="http://schemas.microsoft.com/office/drawing/2014/main" id="{0F1F1EC5-5C27-4309-BDE3-90482789A84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753131" y="296680"/>
              <a:ext cx="1209050" cy="15000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njurul alam Piash" refreshedDate="46181.674038194447" backgroundQuery="1" createdVersion="8" refreshedVersion="8" minRefreshableVersion="3" recordCount="0" supportSubquery="1" supportAdvancedDrill="1" xr:uid="{3AFC2641-391D-4C8D-9FF0-89773E8833B6}">
  <cacheSource type="external" connectionId="1"/>
  <cacheFields count="4">
    <cacheField name="[tblCustomers].[Region].[Region]" caption="Region" numFmtId="0" hierarchy="2" level="1">
      <sharedItems count="5">
        <s v="CTG"/>
        <s v="Dhaka"/>
        <s v="Khulna"/>
        <s v="Rajshahi"/>
        <s v="Sylhet"/>
      </sharedItems>
    </cacheField>
    <cacheField name="[tblDate].[Year].[Year]" caption="Year" numFmtId="0" hierarchy="5" level="1">
      <sharedItems containsSemiMixedTypes="0" containsString="0" containsNumber="1" containsInteger="1" minValue="2023" maxValue="2024" count="2">
        <n v="2023"/>
        <n v="2024"/>
      </sharedItems>
      <extLst>
        <ext xmlns:x15="http://schemas.microsoft.com/office/spreadsheetml/2010/11/main" uri="{4F2E5C28-24EA-4eb8-9CBF-B6C8F9C3D259}">
          <x15:cachedUniqueNames>
            <x15:cachedUniqueName index="0" name="[tblDate].[Year].&amp;[2023]"/>
            <x15:cachedUniqueName index="1" name="[tblDate].[Year].&amp;[2024]"/>
          </x15:cachedUniqueNames>
        </ext>
      </extLst>
    </cacheField>
    <cacheField name="[Measures].[Toal Revenue]" caption="Toal Revenue" numFmtId="0" hierarchy="22" level="32767"/>
    <cacheField name="[Measures].[YTD Revenue]" caption="YTD Revenue" numFmtId="0" hierarchy="23" level="32767"/>
  </cacheFields>
  <cacheHierarchies count="31">
    <cacheHierarchy uniqueName="[tblCustomers].[CustomerID]" caption="CustomerID" attribute="1" defaultMemberUniqueName="[tblCustomers].[CustomerID].[All]" allUniqueName="[tblCustomers].[CustomerID].[All]" dimensionUniqueName="[tblCustomers]" displayFolder="" count="2" memberValueDatatype="130" unbalanced="0"/>
    <cacheHierarchy uniqueName="[tblCustomers].[CustomerName]" caption="CustomerName" attribute="1" defaultMemberUniqueName="[tblCustomers].[CustomerName].[All]" allUniqueName="[tblCustomers].[CustomerName].[All]" dimensionUniqueName="[tblCustomers]" displayFolder="" count="2" memberValueDatatype="130" unbalanced="0"/>
    <cacheHierarchy uniqueName="[tblCustomers].[Region]" caption="Region" attribute="1" defaultMemberUniqueName="[tblCustomers].[Region].[All]" allUniqueName="[tblCustomers].[Region].[All]" dimensionUniqueName="[tblCustomers]" displayFolder="" count="2" memberValueDatatype="130" unbalanced="0">
      <fieldsUsage count="2">
        <fieldUsage x="-1"/>
        <fieldUsage x="0"/>
      </fieldsUsage>
    </cacheHierarchy>
    <cacheHierarchy uniqueName="[tblCustomers].[Segment]" caption="Segment" attribute="1" defaultMemberUniqueName="[tblCustomers].[Segment].[All]" allUniqueName="[tblCustomers].[Segment].[All]" dimensionUniqueName="[tblCustomers]" displayFolder="" count="2" memberValueDatatype="130" unbalanced="0"/>
    <cacheHierarchy uniqueName="[tblDate].[Date]" caption="Date" attribute="1" time="1" keyAttribute="1" defaultMemberUniqueName="[tblDate].[Date].[All]" allUniqueName="[tblDate].[Date].[All]" dimensionUniqueName="[tblDate]" displayFolder="" count="2" memberValueDatatype="7" unbalanced="0"/>
    <cacheHierarchy uniqueName="[tblDate].[Year]" caption="Year" attribute="1" time="1" defaultMemberUniqueName="[tblDate].[Year].[All]" allUniqueName="[tblDate].[Year].[All]" dimensionUniqueName="[tblDate]" displayFolder="" count="2" memberValueDatatype="20" unbalanced="0">
      <fieldsUsage count="2">
        <fieldUsage x="-1"/>
        <fieldUsage x="1"/>
      </fieldsUsage>
    </cacheHierarchy>
    <cacheHierarchy uniqueName="[tblDate].[Quarter]" caption="Quarter" attribute="1" time="1" defaultMemberUniqueName="[tblDate].[Quarter].[All]" allUniqueName="[tblDate].[Quarter].[All]" dimensionUniqueName="[tblDate]" displayFolder="" count="2" memberValueDatatype="130" unbalanced="0"/>
    <cacheHierarchy uniqueName="[tblDate].[Month]" caption="Month" attribute="1" time="1" defaultMemberUniqueName="[tblDate].[Month].[All]" allUniqueName="[tblDate].[Month].[All]" dimensionUniqueName="[tblDate]" displayFolder="" count="2" memberValueDatatype="20" unbalanced="0"/>
    <cacheHierarchy uniqueName="[tblDate].[MonthName]" caption="MonthName" attribute="1" time="1" defaultMemberUniqueName="[tblDate].[MonthName].[All]" allUniqueName="[tblDate].[MonthName].[All]" dimensionUniqueName="[tblDate]" displayFolder="" count="2" memberValueDatatype="130" unbalanced="0"/>
    <cacheHierarchy uniqueName="[tblDate].[WeekDay]" caption="WeekDay" attribute="1" time="1" defaultMemberUniqueName="[tblDate].[WeekDay].[All]" allUniqueName="[tblDate].[WeekDay].[All]" dimensionUniqueName="[tblDate]" displayFolder="" count="2" memberValueDatatype="130" unbalanced="0"/>
    <cacheHierarchy uniqueName="[tblDate].[IsWeekend]" caption="IsWeekend" attribute="1" time="1" defaultMemberUniqueName="[tblDate].[IsWeekend].[All]" allUniqueName="[tblDate].[IsWeekend].[All]" dimensionUniqueName="[tblDate]" displayFolder="" count="2" memberValueDatatype="20" unbalanced="0"/>
    <cacheHierarchy uniqueName="[tblProducts].[ProductID]" caption="ProductID" attribute="1" defaultMemberUniqueName="[tblProducts].[ProductID].[All]" allUniqueName="[tblProducts].[ProductID].[All]" dimensionUniqueName="[tblProducts]" displayFolder="" count="2" memberValueDatatype="130" unbalanced="0"/>
    <cacheHierarchy uniqueName="[tblProducts].[ProductName]" caption="ProductName" attribute="1" defaultMemberUniqueName="[tblProducts].[ProductName].[All]" allUniqueName="[tblProducts].[ProductName].[All]" dimensionUniqueName="[tblProducts]" displayFolder="" count="2" memberValueDatatype="130" unbalanced="0"/>
    <cacheHierarchy uniqueName="[tblProducts].[Category]" caption="Category" attribute="1" defaultMemberUniqueName="[tblProducts].[Category].[All]" allUniqueName="[tblProducts].[Category].[All]" dimensionUniqueName="[tblProducts]" displayFolder="" count="2" memberValueDatatype="130" unbalanced="0"/>
    <cacheHierarchy uniqueName="[tblProducts].[Price]" caption="Price" attribute="1" defaultMemberUniqueName="[tblProducts].[Price].[All]" allUniqueName="[tblProducts].[Price].[All]" dimensionUniqueName="[tblProducts]" displayFolder="" count="2" memberValueDatatype="20" unbalanced="0"/>
    <cacheHierarchy uniqueName="[tblProducts].[Cost]" caption="Cost" attribute="1" defaultMemberUniqueName="[tblProducts].[Cost].[All]" allUniqueName="[tblProducts].[Cost].[All]" dimensionUniqueName="[tblProducts]" displayFolder="" count="2" memberValueDatatype="20" unbalanced="0"/>
    <cacheHierarchy uniqueName="[tblSales].[OrderID]" caption="OrderID" attribute="1" defaultMemberUniqueName="[tblSales].[OrderID].[All]" allUniqueName="[tblSales].[OrderID].[All]" dimensionUniqueName="[tblSales]" displayFolder="" count="2" memberValueDatatype="130" unbalanced="0"/>
    <cacheHierarchy uniqueName="[tblSales].[ProductID]" caption="ProductID" attribute="1" defaultMemberUniqueName="[tblSales].[ProductID].[All]" allUniqueName="[tblSales].[ProductID].[All]" dimensionUniqueName="[tblSales]" displayFolder="" count="2" memberValueDatatype="130" unbalanced="0"/>
    <cacheHierarchy uniqueName="[tblSales].[CustomerID]" caption="CustomerID" attribute="1" defaultMemberUniqueName="[tblSales].[CustomerID].[All]" allUniqueName="[tblSales].[CustomerID].[All]" dimensionUniqueName="[tblSales]" displayFolder="" count="2" memberValueDatatype="130" unbalanced="0"/>
    <cacheHierarchy uniqueName="[tblSales].[Date]" caption="Date" attribute="1" time="1" defaultMemberUniqueName="[tblSales].[Date].[All]" allUniqueName="[tblSales].[Date].[All]" dimensionUniqueName="[tblSales]" displayFolder="" count="2" memberValueDatatype="7" unbalanced="0"/>
    <cacheHierarchy uniqueName="[tblSales].[Amount]" caption="Amount" attribute="1" defaultMemberUniqueName="[tblSales].[Amount].[All]" allUniqueName="[tblSales].[Amount].[All]" dimensionUniqueName="[tblSales]" displayFolder="" count="2" memberValueDatatype="20" unbalanced="0"/>
    <cacheHierarchy uniqueName="[tblSales].[Qty]" caption="Qty" attribute="1" defaultMemberUniqueName="[tblSales].[Qty].[All]" allUniqueName="[tblSales].[Qty].[All]" dimensionUniqueName="[tblSales]" displayFolder="" count="2" memberValueDatatype="20" unbalanced="0"/>
    <cacheHierarchy uniqueName="[Measures].[Toal Revenue]" caption="Toal Revenue" measure="1" displayFolder="" measureGroup="tblSales" count="0" oneField="1">
      <fieldsUsage count="1">
        <fieldUsage x="2"/>
      </fieldsUsage>
    </cacheHierarchy>
    <cacheHierarchy uniqueName="[Measures].[YTD Revenue]" caption="YTD Revenue" measure="1" displayFolder="" measureGroup="tblSales" count="0" oneField="1">
      <fieldsUsage count="1">
        <fieldUsage x="3"/>
      </fieldsUsage>
    </cacheHierarchy>
    <cacheHierarchy uniqueName="[Measures].[LY Revenue]" caption="LY Revenue" measure="1" displayFolder="" measureGroup="tblSales" count="0"/>
    <cacheHierarchy uniqueName="[Measures].[YoY Growth]" caption="YoY Growth" measure="1" displayFolder="" measureGroup="tblSales" count="0"/>
    <cacheHierarchy uniqueName="[Measures].[__XL_Count tblSales]" caption="__XL_Count tblSales" measure="1" displayFolder="" measureGroup="tblSales" count="0" hidden="1"/>
    <cacheHierarchy uniqueName="[Measures].[__XL_Count tblProducts]" caption="__XL_Count tblProducts" measure="1" displayFolder="" measureGroup="tblProducts" count="0" hidden="1"/>
    <cacheHierarchy uniqueName="[Measures].[__XL_Count tblCustomers]" caption="__XL_Count tblCustomers" measure="1" displayFolder="" measureGroup="tblCustomers" count="0" hidden="1"/>
    <cacheHierarchy uniqueName="[Measures].[__XL_Count tblDate]" caption="__XL_Count tblDate" measure="1" displayFolder="" measureGroup="tblDate" count="0" hidden="1"/>
    <cacheHierarchy uniqueName="[Measures].[__No measures defined]" caption="__No measures defined" measure="1" displayFolder="" count="0" hidden="1"/>
  </cacheHierarchies>
  <kpis count="0"/>
  <dimensions count="5">
    <dimension measure="1" name="Measures" uniqueName="[Measures]" caption="Measures"/>
    <dimension name="tblCustomers" uniqueName="[tblCustomers]" caption="tblCustomers"/>
    <dimension name="tblDate" uniqueName="[tblDate]" caption="tblDate"/>
    <dimension name="tblProducts" uniqueName="[tblProducts]" caption="tblProducts"/>
    <dimension name="tblSales" uniqueName="[tblSales]" caption="tblSales"/>
  </dimensions>
  <measureGroups count="4">
    <measureGroup name="tblCustomers" caption="tblCustomers"/>
    <measureGroup name="tblDate" caption="tblDate"/>
    <measureGroup name="tblProducts" caption="tblProducts"/>
    <measureGroup name="tblSales" caption="tblSales"/>
  </measureGroups>
  <maps count="7">
    <map measureGroup="0" dimension="1"/>
    <map measureGroup="1" dimension="2"/>
    <map measureGroup="2" dimension="3"/>
    <map measureGroup="3" dimension="1"/>
    <map measureGroup="3" dimension="2"/>
    <map measureGroup="3"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Munjurul alam Piash" refreshedDate="46181.676278587962" backgroundQuery="1" createdVersion="3" refreshedVersion="8" minRefreshableVersion="3" recordCount="0" tupleCache="1" supportSubquery="1" supportAdvancedDrill="1" xr:uid="{2AB70E7E-9DB1-47C3-AFEA-5967C50ECFF7}">
  <cacheSource type="external" connectionId="1"/>
  <cacheFields count="1">
    <cacheField name="[Measures].[MeasuresLevel]" caption="MeasuresLevel" numFmtId="0">
      <sharedItems count="1">
        <s v="[Measures].[YoY Growth]" c="YoY Growth"/>
      </sharedItems>
    </cacheField>
  </cacheFields>
  <cacheHierarchies count="32">
    <cacheHierarchy uniqueName="[Measures]" caption="Measures" attribute="1" keyAttribute="1" defaultMemberUniqueName="[Measures].[__No measures defined]" dimensionUniqueName="[Measures]" displayFolder="" measures="1" count="1" memberValueDatatype="130" unbalanced="0">
      <fieldsUsage count="1">
        <fieldUsage x="0"/>
      </fieldsUsage>
    </cacheHierarchy>
    <cacheHierarchy uniqueName="[tblCustomers].[CustomerID]" caption="CustomerID" attribute="1" defaultMemberUniqueName="[tblCustomers].[CustomerID].[All]" allUniqueName="[tblCustomers].[CustomerID].[All]" dimensionUniqueName="[tblCustomers]" displayFolder="" count="2" memberValueDatatype="130" unbalanced="0"/>
    <cacheHierarchy uniqueName="[tblCustomers].[CustomerName]" caption="CustomerName" attribute="1" defaultMemberUniqueName="[tblCustomers].[CustomerName].[All]" allUniqueName="[tblCustomers].[CustomerName].[All]" dimensionUniqueName="[tblCustomers]" displayFolder="" count="2" memberValueDatatype="130" unbalanced="0"/>
    <cacheHierarchy uniqueName="[tblCustomers].[Region]" caption="Region" attribute="1" defaultMemberUniqueName="[tblCustomers].[Region].[All]" allUniqueName="[tblCustomers].[Region].[All]" dimensionUniqueName="[tblCustomers]" displayFolder="" count="2" memberValueDatatype="130" unbalanced="0"/>
    <cacheHierarchy uniqueName="[tblCustomers].[Segment]" caption="Segment" attribute="1" defaultMemberUniqueName="[tblCustomers].[Segment].[All]" allUniqueName="[tblCustomers].[Segment].[All]" dimensionUniqueName="[tblCustomers]" displayFolder="" count="2" memberValueDatatype="130" unbalanced="0"/>
    <cacheHierarchy uniqueName="[tblDate].[Date]" caption="Date" attribute="1" time="1" keyAttribute="1" defaultMemberUniqueName="[tblDate].[Date].[All]" allUniqueName="[tblDate].[Date].[All]" dimensionUniqueName="[tblDate]" displayFolder="" count="2" memberValueDatatype="7" unbalanced="0"/>
    <cacheHierarchy uniqueName="[tblDate].[Year]" caption="Year" attribute="1" time="1" defaultMemberUniqueName="[tblDate].[Year].[All]" allUniqueName="[tblDate].[Year].[All]" dimensionUniqueName="[tblDate]" displayFolder="" count="2" memberValueDatatype="20" unbalanced="0"/>
    <cacheHierarchy uniqueName="[tblDate].[Quarter]" caption="Quarter" attribute="1" time="1" defaultMemberUniqueName="[tblDate].[Quarter].[All]" allUniqueName="[tblDate].[Quarter].[All]" dimensionUniqueName="[tblDate]" displayFolder="" count="2" memberValueDatatype="130" unbalanced="0"/>
    <cacheHierarchy uniqueName="[tblDate].[Month]" caption="Month" attribute="1" time="1" defaultMemberUniqueName="[tblDate].[Month].[All]" allUniqueName="[tblDate].[Month].[All]" dimensionUniqueName="[tblDate]" displayFolder="" count="2" memberValueDatatype="20" unbalanced="0"/>
    <cacheHierarchy uniqueName="[tblDate].[MonthName]" caption="MonthName" attribute="1" time="1" defaultMemberUniqueName="[tblDate].[MonthName].[All]" allUniqueName="[tblDate].[MonthName].[All]" dimensionUniqueName="[tblDate]" displayFolder="" count="2" memberValueDatatype="130" unbalanced="0"/>
    <cacheHierarchy uniqueName="[tblDate].[WeekDay]" caption="WeekDay" attribute="1" time="1" defaultMemberUniqueName="[tblDate].[WeekDay].[All]" allUniqueName="[tblDate].[WeekDay].[All]" dimensionUniqueName="[tblDate]" displayFolder="" count="2" memberValueDatatype="130" unbalanced="0"/>
    <cacheHierarchy uniqueName="[tblDate].[IsWeekend]" caption="IsWeekend" attribute="1" time="1" defaultMemberUniqueName="[tblDate].[IsWeekend].[All]" allUniqueName="[tblDate].[IsWeekend].[All]" dimensionUniqueName="[tblDate]" displayFolder="" count="2" memberValueDatatype="20" unbalanced="0"/>
    <cacheHierarchy uniqueName="[tblProducts].[ProductID]" caption="ProductID" attribute="1" defaultMemberUniqueName="[tblProducts].[ProductID].[All]" allUniqueName="[tblProducts].[ProductID].[All]" dimensionUniqueName="[tblProducts]" displayFolder="" count="2" memberValueDatatype="130" unbalanced="0"/>
    <cacheHierarchy uniqueName="[tblProducts].[ProductName]" caption="ProductName" attribute="1" defaultMemberUniqueName="[tblProducts].[ProductName].[All]" allUniqueName="[tblProducts].[ProductName].[All]" dimensionUniqueName="[tblProducts]" displayFolder="" count="2" memberValueDatatype="130" unbalanced="0"/>
    <cacheHierarchy uniqueName="[tblProducts].[Category]" caption="Category" attribute="1" defaultMemberUniqueName="[tblProducts].[Category].[All]" allUniqueName="[tblProducts].[Category].[All]" dimensionUniqueName="[tblProducts]" displayFolder="" count="2" memberValueDatatype="130" unbalanced="0"/>
    <cacheHierarchy uniqueName="[tblProducts].[Price]" caption="Price" attribute="1" defaultMemberUniqueName="[tblProducts].[Price].[All]" allUniqueName="[tblProducts].[Price].[All]" dimensionUniqueName="[tblProducts]" displayFolder="" count="2" memberValueDatatype="20" unbalanced="0"/>
    <cacheHierarchy uniqueName="[tblProducts].[Cost]" caption="Cost" attribute="1" defaultMemberUniqueName="[tblProducts].[Cost].[All]" allUniqueName="[tblProducts].[Cost].[All]" dimensionUniqueName="[tblProducts]" displayFolder="" count="2" memberValueDatatype="20" unbalanced="0"/>
    <cacheHierarchy uniqueName="[tblSales].[OrderID]" caption="OrderID" attribute="1" defaultMemberUniqueName="[tblSales].[OrderID].[All]" allUniqueName="[tblSales].[OrderID].[All]" dimensionUniqueName="[tblSales]" displayFolder="" count="2" memberValueDatatype="130" unbalanced="0"/>
    <cacheHierarchy uniqueName="[tblSales].[ProductID]" caption="ProductID" attribute="1" defaultMemberUniqueName="[tblSales].[ProductID].[All]" allUniqueName="[tblSales].[ProductID].[All]" dimensionUniqueName="[tblSales]" displayFolder="" count="2" memberValueDatatype="130" unbalanced="0"/>
    <cacheHierarchy uniqueName="[tblSales].[CustomerID]" caption="CustomerID" attribute="1" defaultMemberUniqueName="[tblSales].[CustomerID].[All]" allUniqueName="[tblSales].[CustomerID].[All]" dimensionUniqueName="[tblSales]" displayFolder="" count="2" memberValueDatatype="130" unbalanced="0"/>
    <cacheHierarchy uniqueName="[tblSales].[Date]" caption="Date" attribute="1" time="1" defaultMemberUniqueName="[tblSales].[Date].[All]" allUniqueName="[tblSales].[Date].[All]" dimensionUniqueName="[tblSales]" displayFolder="" count="2" memberValueDatatype="7" unbalanced="0"/>
    <cacheHierarchy uniqueName="[tblSales].[Amount]" caption="Amount" attribute="1" defaultMemberUniqueName="[tblSales].[Amount].[All]" allUniqueName="[tblSales].[Amount].[All]" dimensionUniqueName="[tblSales]" displayFolder="" count="2" memberValueDatatype="20" unbalanced="0"/>
    <cacheHierarchy uniqueName="[tblSales].[Qty]" caption="Qty" attribute="1" defaultMemberUniqueName="[tblSales].[Qty].[All]" allUniqueName="[tblSales].[Qty].[All]" dimensionUniqueName="[tblSales]" displayFolder="" count="2" memberValueDatatype="20" unbalanced="0"/>
    <cacheHierarchy uniqueName="[Measures].[Toal Revenue]" caption="Toal Revenue" measure="1" displayFolder="" measureGroup="tblSales" count="0"/>
    <cacheHierarchy uniqueName="[Measures].[YTD Revenue]" caption="YTD Revenue" measure="1" displayFolder="" measureGroup="tblSales" count="0"/>
    <cacheHierarchy uniqueName="[Measures].[LY Revenue]" caption="LY Revenue" measure="1" displayFolder="" measureGroup="tblSales" count="0"/>
    <cacheHierarchy uniqueName="[Measures].[YoY Growth]" caption="YoY Growth" measure="1" displayFolder="" measureGroup="tblSales" count="0"/>
    <cacheHierarchy uniqueName="[Measures].[__XL_Count tblSales]" caption="__XL_Count tblSales" measure="1" displayFolder="" measureGroup="tblSales" count="0" hidden="1"/>
    <cacheHierarchy uniqueName="[Measures].[__XL_Count tblProducts]" caption="__XL_Count tblProducts" measure="1" displayFolder="" measureGroup="tblProducts" count="0" hidden="1"/>
    <cacheHierarchy uniqueName="[Measures].[__XL_Count tblCustomers]" caption="__XL_Count tblCustomers" measure="1" displayFolder="" measureGroup="tblCustomers" count="0" hidden="1"/>
    <cacheHierarchy uniqueName="[Measures].[__XL_Count tblDate]" caption="__XL_Count tblDate" measure="1" displayFolder="" measureGroup="tblDate" count="0" hidden="1"/>
    <cacheHierarchy uniqueName="[Measures].[__No measures defined]" caption="__No measures defined" measure="1" displayFolder="" count="0" hidden="1"/>
  </cacheHierarchies>
  <kpis count="0"/>
  <tupleCache>
    <entries count="1">
      <n v="0.84494623655913981" in="0">
        <tpls c="1">
          <tpl fld="0" item="0"/>
        </tpls>
      </n>
    </entries>
    <queryCache count="1">
      <query mdx="[Measures].[YoY Growth]">
        <tpls c="1">
          <tpl fld="0" item="0"/>
        </tpls>
      </query>
    </queryCache>
    <serverFormats count="1">
      <serverFormat format="0.00%;-0.00%;0.00%"/>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njurul alam Piash" refreshedDate="46180.94426261574" backgroundQuery="1" createdVersion="3" refreshedVersion="8" minRefreshableVersion="3" recordCount="0" supportSubquery="1" supportAdvancedDrill="1" xr:uid="{B8F0854A-66F0-43EF-B85D-6B1FB03365FE}">
  <cacheSource type="external" connectionId="1">
    <extLst>
      <ext xmlns:x14="http://schemas.microsoft.com/office/spreadsheetml/2009/9/main" uri="{F057638F-6D5F-4e77-A914-E7F072B9BCA8}">
        <x14:sourceConnection name="ThisWorkbookDataModel"/>
      </ext>
    </extLst>
  </cacheSource>
  <cacheFields count="0"/>
  <cacheHierarchies count="31">
    <cacheHierarchy uniqueName="[tblCustomers].[CustomerID]" caption="CustomerID" attribute="1" defaultMemberUniqueName="[tblCustomers].[CustomerID].[All]" allUniqueName="[tblCustomers].[CustomerID].[All]" dimensionUniqueName="[tblCustomers]" displayFolder="" count="0" memberValueDatatype="130" unbalanced="0"/>
    <cacheHierarchy uniqueName="[tblCustomers].[CustomerName]" caption="CustomerName" attribute="1" defaultMemberUniqueName="[tblCustomers].[CustomerName].[All]" allUniqueName="[tblCustomers].[CustomerName].[All]" dimensionUniqueName="[tblCustomers]" displayFolder="" count="0" memberValueDatatype="130" unbalanced="0"/>
    <cacheHierarchy uniqueName="[tblCustomers].[Region]" caption="Region" attribute="1" defaultMemberUniqueName="[tblCustomers].[Region].[All]" allUniqueName="[tblCustomers].[Region].[All]" dimensionUniqueName="[tblCustomers]" displayFolder="" count="2" memberValueDatatype="130" unbalanced="0"/>
    <cacheHierarchy uniqueName="[tblCustomers].[Segment]" caption="Segment" attribute="1" defaultMemberUniqueName="[tblCustomers].[Segment].[All]" allUniqueName="[tblCustomers].[Segment].[All]" dimensionUniqueName="[tblCustomers]" displayFolder="" count="0" memberValueDatatype="130" unbalanced="0"/>
    <cacheHierarchy uniqueName="[tblDate].[Date]" caption="Date" attribute="1" time="1" keyAttribute="1" defaultMemberUniqueName="[tblDate].[Date].[All]" allUniqueName="[tblDate].[Date].[All]" dimensionUniqueName="[tblDate]" displayFolder="" count="0" memberValueDatatype="7" unbalanced="0"/>
    <cacheHierarchy uniqueName="[tblDate].[Year]" caption="Year" attribute="1" time="1" defaultMemberUniqueName="[tblDate].[Year].[All]" allUniqueName="[tblDate].[Year].[All]" dimensionUniqueName="[tblDate]" displayFolder="" count="2" memberValueDatatype="20" unbalanced="0"/>
    <cacheHierarchy uniqueName="[tblDate].[Quarter]" caption="Quarter" attribute="1" time="1" defaultMemberUniqueName="[tblDate].[Quarter].[All]" allUniqueName="[tblDate].[Quarter].[All]" dimensionUniqueName="[tblDate]" displayFolder="" count="0" memberValueDatatype="130" unbalanced="0"/>
    <cacheHierarchy uniqueName="[tblDate].[Month]" caption="Month" attribute="1" time="1" defaultMemberUniqueName="[tblDate].[Month].[All]" allUniqueName="[tblDate].[Month].[All]" dimensionUniqueName="[tblDate]" displayFolder="" count="0" memberValueDatatype="20" unbalanced="0"/>
    <cacheHierarchy uniqueName="[tblDate].[MonthName]" caption="MonthName" attribute="1" time="1" defaultMemberUniqueName="[tblDate].[MonthName].[All]" allUniqueName="[tblDate].[MonthName].[All]" dimensionUniqueName="[tblDate]" displayFolder="" count="0" memberValueDatatype="130" unbalanced="0"/>
    <cacheHierarchy uniqueName="[tblDate].[WeekDay]" caption="WeekDay" attribute="1" time="1" defaultMemberUniqueName="[tblDate].[WeekDay].[All]" allUniqueName="[tblDate].[WeekDay].[All]" dimensionUniqueName="[tblDate]" displayFolder="" count="0" memberValueDatatype="130" unbalanced="0"/>
    <cacheHierarchy uniqueName="[tblDate].[IsWeekend]" caption="IsWeekend" attribute="1" time="1" defaultMemberUniqueName="[tblDate].[IsWeekend].[All]" allUniqueName="[tblDate].[IsWeekend].[All]" dimensionUniqueName="[tblDate]" displayFolder="" count="0" memberValueDatatype="20" unbalanced="0"/>
    <cacheHierarchy uniqueName="[tblProducts].[ProductID]" caption="ProductID" attribute="1" defaultMemberUniqueName="[tblProducts].[ProductID].[All]" allUniqueName="[tblProducts].[ProductID].[All]" dimensionUniqueName="[tblProducts]" displayFolder="" count="0" memberValueDatatype="130" unbalanced="0"/>
    <cacheHierarchy uniqueName="[tblProducts].[ProductName]" caption="ProductName" attribute="1" defaultMemberUniqueName="[tblProducts].[ProductName].[All]" allUniqueName="[tblProducts].[ProductName].[All]" dimensionUniqueName="[tblProducts]" displayFolder="" count="0" memberValueDatatype="130" unbalanced="0"/>
    <cacheHierarchy uniqueName="[tblProducts].[Category]" caption="Category" attribute="1" defaultMemberUniqueName="[tblProducts].[Category].[All]" allUniqueName="[tblProducts].[Category].[All]" dimensionUniqueName="[tblProducts]" displayFolder="" count="0" memberValueDatatype="130" unbalanced="0"/>
    <cacheHierarchy uniqueName="[tblProducts].[Price]" caption="Price" attribute="1" defaultMemberUniqueName="[tblProducts].[Price].[All]" allUniqueName="[tblProducts].[Price].[All]" dimensionUniqueName="[tblProducts]" displayFolder="" count="0" memberValueDatatype="20" unbalanced="0"/>
    <cacheHierarchy uniqueName="[tblProducts].[Cost]" caption="Cost" attribute="1" defaultMemberUniqueName="[tblProducts].[Cost].[All]" allUniqueName="[tblProducts].[Cost].[All]" dimensionUniqueName="[tblProducts]" displayFolder="" count="0" memberValueDatatype="20" unbalanced="0"/>
    <cacheHierarchy uniqueName="[tblSales].[OrderID]" caption="OrderID" attribute="1" defaultMemberUniqueName="[tblSales].[OrderID].[All]" allUniqueName="[tblSales].[OrderID].[All]" dimensionUniqueName="[tblSales]" displayFolder="" count="0" memberValueDatatype="130" unbalanced="0"/>
    <cacheHierarchy uniqueName="[tblSales].[ProductID]" caption="ProductID" attribute="1" defaultMemberUniqueName="[tblSales].[ProductID].[All]" allUniqueName="[tblSales].[ProductID].[All]" dimensionUniqueName="[tblSales]" displayFolder="" count="0" memberValueDatatype="130" unbalanced="0"/>
    <cacheHierarchy uniqueName="[tblSales].[CustomerID]" caption="CustomerID" attribute="1" defaultMemberUniqueName="[tblSales].[CustomerID].[All]" allUniqueName="[tblSales].[CustomerID].[All]" dimensionUniqueName="[tblSales]" displayFolder="" count="0" memberValueDatatype="130" unbalanced="0"/>
    <cacheHierarchy uniqueName="[tblSales].[Date]" caption="Date" attribute="1" time="1" defaultMemberUniqueName="[tblSales].[Date].[All]" allUniqueName="[tblSales].[Date].[All]" dimensionUniqueName="[tblSales]" displayFolder="" count="0" memberValueDatatype="7" unbalanced="0"/>
    <cacheHierarchy uniqueName="[tblSales].[Amount]" caption="Amount" attribute="1" defaultMemberUniqueName="[tblSales].[Amount].[All]" allUniqueName="[tblSales].[Amount].[All]" dimensionUniqueName="[tblSales]" displayFolder="" count="0" memberValueDatatype="20" unbalanced="0"/>
    <cacheHierarchy uniqueName="[tblSales].[Qty]" caption="Qty" attribute="1" defaultMemberUniqueName="[tblSales].[Qty].[All]" allUniqueName="[tblSales].[Qty].[All]" dimensionUniqueName="[tblSales]" displayFolder="" count="0" memberValueDatatype="20" unbalanced="0"/>
    <cacheHierarchy uniqueName="[Measures].[Toal Revenue]" caption="Toal Revenue" measure="1" displayFolder="" measureGroup="tblSales" count="0"/>
    <cacheHierarchy uniqueName="[Measures].[YTD Revenue]" caption="YTD Revenue" measure="1" displayFolder="" measureGroup="tblSales" count="0"/>
    <cacheHierarchy uniqueName="[Measures].[LY Revenue]" caption="LY Revenue" measure="1" displayFolder="" measureGroup="tblSales" count="0"/>
    <cacheHierarchy uniqueName="[Measures].[YoY Growth]" caption="YoY Growth" measure="1" displayFolder="" measureGroup="tblSales" count="0"/>
    <cacheHierarchy uniqueName="[Measures].[__XL_Count tblSales]" caption="__XL_Count tblSales" measure="1" displayFolder="" measureGroup="tblSales" count="0" hidden="1"/>
    <cacheHierarchy uniqueName="[Measures].[__XL_Count tblProducts]" caption="__XL_Count tblProducts" measure="1" displayFolder="" measureGroup="tblProducts" count="0" hidden="1"/>
    <cacheHierarchy uniqueName="[Measures].[__XL_Count tblCustomers]" caption="__XL_Count tblCustomers" measure="1" displayFolder="" measureGroup="tblCustomers" count="0" hidden="1"/>
    <cacheHierarchy uniqueName="[Measures].[__XL_Count tblDate]" caption="__XL_Count tblDate" measure="1" displayFolder="" measureGroup="tblDat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8153870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55E44B6-B361-45ED-B1FF-B42BBF88630A}" name="PivotTable1" cacheId="16" applyNumberFormats="0" applyBorderFormats="0" applyFontFormats="0" applyPatternFormats="0" applyAlignmentFormats="0" applyWidthHeightFormats="1" dataCaption="Values" tag="9f9de1dc-067f-4314-8aaa-6d5bc83760b7" updatedVersion="8" minRefreshableVersion="3" useAutoFormatting="1" subtotalHiddenItems="1" itemPrintTitles="1" createdVersion="8" indent="0" outline="1" outlineData="1" multipleFieldFilters="0" chartFormat="21">
  <location ref="A3:G11" firstHeaderRow="1" firstDataRow="3" firstDataCol="1"/>
  <pivotFields count="4">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2">
    <field x="1"/>
    <field x="-2"/>
  </colFields>
  <colItems count="6">
    <i>
      <x/>
      <x/>
    </i>
    <i r="1" i="1">
      <x v="1"/>
    </i>
    <i>
      <x v="1"/>
      <x/>
    </i>
    <i r="1" i="1">
      <x v="1"/>
    </i>
    <i t="grand">
      <x/>
    </i>
    <i t="grand" i="1">
      <x/>
    </i>
  </colItems>
  <dataFields count="2">
    <dataField fld="2" subtotal="count" baseField="0" baseItem="0"/>
    <dataField fld="3" subtotal="count" baseField="0" baseItem="0"/>
  </dataFields>
  <chartFormats count="4">
    <chartFormat chart="14" format="6" series="1">
      <pivotArea type="data" outline="0" fieldPosition="0">
        <references count="2">
          <reference field="4294967294" count="1" selected="0">
            <x v="0"/>
          </reference>
          <reference field="1" count="1" selected="0">
            <x v="0"/>
          </reference>
        </references>
      </pivotArea>
    </chartFormat>
    <chartFormat chart="14" format="7" series="1">
      <pivotArea type="data" outline="0" fieldPosition="0">
        <references count="2">
          <reference field="4294967294" count="1" selected="0">
            <x v="1"/>
          </reference>
          <reference field="1" count="1" selected="0">
            <x v="0"/>
          </reference>
        </references>
      </pivotArea>
    </chartFormat>
    <chartFormat chart="14" format="9" series="1">
      <pivotArea type="data" outline="0" fieldPosition="0">
        <references count="2">
          <reference field="4294967294" count="1" selected="0">
            <x v="0"/>
          </reference>
          <reference field="1" count="1" selected="0">
            <x v="1"/>
          </reference>
        </references>
      </pivotArea>
    </chartFormat>
    <chartFormat chart="14" format="10" series="1">
      <pivotArea type="data" outline="0" fieldPosition="0">
        <references count="2">
          <reference field="4294967294" count="1" selected="0">
            <x v="1"/>
          </reference>
          <reference field="1" count="1" selected="0">
            <x v="1"/>
          </reference>
        </references>
      </pivotArea>
    </chartFormat>
  </chartFormats>
  <pivotHierarchies count="3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2">
    <colHierarchyUsage hierarchyUsage="5"/>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Sales]"/>
        <x15:activeTabTopLevelEntity name="[tblCustomers]"/>
        <x15:activeTabTopLevelEntity name="[tblDat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EFFD661-B19B-4E61-B5A7-E0016D51174B}" sourceName="[tblCustomers].[Region]">
  <pivotTables>
    <pivotTable tabId="6" name="PivotTable1"/>
  </pivotTables>
  <data>
    <olap pivotCacheId="981538703">
      <levels count="2">
        <level uniqueName="[tblCustomers].[Region].[(All)]" sourceCaption="(All)" count="0"/>
        <level uniqueName="[tblCustomers].[Region].[Region]" sourceCaption="Region" count="5">
          <ranges>
            <range startItem="0">
              <i n="[tblCustomers].[Region].&amp;[CTG]" c="CTG"/>
              <i n="[tblCustomers].[Region].&amp;[Dhaka]" c="Dhaka"/>
              <i n="[tblCustomers].[Region].&amp;[Khulna]" c="Khulna"/>
              <i n="[tblCustomers].[Region].&amp;[Rajshahi]" c="Rajshahi"/>
              <i n="[tblCustomers].[Region].&amp;[Sylhet]" c="Sylhet"/>
            </range>
          </ranges>
        </level>
      </levels>
      <selections count="1">
        <selection n="[tblCustomers].[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2CD72EE8-878E-4F72-8B72-F1B4C07DC7FF}" sourceName="[tblDate].[Year]">
  <pivotTables>
    <pivotTable tabId="6" name="PivotTable1"/>
  </pivotTables>
  <data>
    <olap pivotCacheId="981538703">
      <levels count="2">
        <level uniqueName="[tblDate].[Year].[(All)]" sourceCaption="(All)" count="0"/>
        <level uniqueName="[tblDate].[Year].[Year]" sourceCaption="Year" count="2">
          <ranges>
            <range startItem="0">
              <i n="[tblDate].[Year].&amp;[2023]" c="2023"/>
              <i n="[tblDate].[Year].&amp;[2024]" c="2024"/>
            </range>
          </ranges>
        </level>
      </levels>
      <selections count="1">
        <selection n="[tblDate].[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9594D3E-DF3A-4EA2-8F39-341C57C58211}" cache="Slicer_Region" caption="Region" level="1" rowHeight="241300"/>
  <slicer name="Year" xr10:uid="{FC768E18-8047-48B3-9F86-F423C40B38BD}" cache="Slicer_Year" caption="Year"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824CE11-F1D7-4172-B8B2-D340A172F4F2}" name="tblSales" displayName="tblSales" ref="A3:F203" totalsRowShown="0" headerRowDxfId="38" headerRowBorderDxfId="37" tableBorderDxfId="36" totalsRowBorderDxfId="35">
  <autoFilter ref="A3:F203" xr:uid="{A824CE11-F1D7-4172-B8B2-D340A172F4F2}"/>
  <tableColumns count="6">
    <tableColumn id="1" xr3:uid="{7942773C-467E-4BC0-9099-145E4DDB4596}" name="OrderID" dataDxfId="34"/>
    <tableColumn id="2" xr3:uid="{FAFA90AE-03CB-40DD-B22E-7428D86515D6}" name="ProductID" dataDxfId="33"/>
    <tableColumn id="3" xr3:uid="{6139BC7C-0D29-4C21-84F3-A03A64C27CDC}" name="CustomerID" dataDxfId="32"/>
    <tableColumn id="4" xr3:uid="{D884F0F2-1C32-4A3F-859F-D9EC5CB8A1E2}" name="Date" dataDxfId="31"/>
    <tableColumn id="5" xr3:uid="{BC9FE618-2538-4643-94B9-6398F6C25E91}" name="Amount" dataDxfId="30"/>
    <tableColumn id="6" xr3:uid="{23E86B65-B08D-4DD1-8BC3-2E40E02CBE54}" name="Qty" dataDxfId="29"/>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3273266-39E7-4A20-BE34-FA1641BA3DC2}" name="tblProducts" displayName="tblProducts" ref="A3:E11" totalsRowShown="0" headerRowDxfId="28" headerRowBorderDxfId="27" tableBorderDxfId="26" totalsRowBorderDxfId="25">
  <autoFilter ref="A3:E11" xr:uid="{43273266-39E7-4A20-BE34-FA1641BA3DC2}"/>
  <tableColumns count="5">
    <tableColumn id="1" xr3:uid="{CFB98F8B-F06D-44AC-BB9F-5F17EF9E7BC6}" name="ProductID" dataDxfId="24"/>
    <tableColumn id="2" xr3:uid="{922AFE96-E285-4041-9842-CBB859ADFA31}" name="ProductName" dataDxfId="23"/>
    <tableColumn id="3" xr3:uid="{4C60C340-35BD-479A-B697-973A55B93C66}" name="Category" dataDxfId="22"/>
    <tableColumn id="4" xr3:uid="{B9FCD42A-5100-4942-9556-79ED02D1E451}" name="Price" dataDxfId="21"/>
    <tableColumn id="5" xr3:uid="{12C46C44-504D-4D02-B73F-13B2F42FBEAE}" name="Cost" dataDxfId="2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C07844C-D4E5-4C68-AC67-DC9629F0F140}" name="tblCustomers" displayName="tblCustomers" ref="A3:D23" totalsRowShown="0" headerRowDxfId="19" headerRowBorderDxfId="18" tableBorderDxfId="17" totalsRowBorderDxfId="16">
  <autoFilter ref="A3:D23" xr:uid="{3C07844C-D4E5-4C68-AC67-DC9629F0F140}"/>
  <tableColumns count="4">
    <tableColumn id="1" xr3:uid="{A849F456-24CD-406E-BABA-C1DD2A64947E}" name="CustomerID" dataDxfId="15"/>
    <tableColumn id="2" xr3:uid="{FE81A85F-5A52-4999-ADFA-90B94452EB16}" name="CustomerName" dataDxfId="14"/>
    <tableColumn id="3" xr3:uid="{FD672327-2201-437F-AABE-6B18ABF9DFE4}" name="Region" dataDxfId="13"/>
    <tableColumn id="4" xr3:uid="{3C7281FC-368D-49A7-9293-E5E06D7BB8EE}" name="Segment" dataDxfId="1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1A2703B-1118-49A3-AC15-1515984AE63E}" name="tblDate" displayName="tblDate" ref="A3:G734" totalsRowShown="0" headerRowDxfId="11" dataDxfId="9" headerRowBorderDxfId="10" tableBorderDxfId="8" totalsRowBorderDxfId="7">
  <autoFilter ref="A3:G734" xr:uid="{01A2703B-1118-49A3-AC15-1515984AE63E}"/>
  <tableColumns count="7">
    <tableColumn id="1" xr3:uid="{A347763E-D5E1-492A-8E52-CD553AC523AA}" name="Date" dataDxfId="6"/>
    <tableColumn id="2" xr3:uid="{99AA6C62-E0A0-48BD-8778-D7E657B2B8C4}" name="Year" dataDxfId="5"/>
    <tableColumn id="3" xr3:uid="{023C4AE4-124D-46E8-B418-C53DEC888E44}" name="Quarter" dataDxfId="4"/>
    <tableColumn id="4" xr3:uid="{7C7C4A6B-32B0-478E-ADFE-4A65E2684DC5}" name="Month" dataDxfId="3"/>
    <tableColumn id="5" xr3:uid="{2224574A-1270-4ED4-BF23-3FA81CBF92EE}" name="MonthName" dataDxfId="2"/>
    <tableColumn id="6" xr3:uid="{9E0EE549-07B1-4E8B-AADE-142F5514374F}" name="WeekDay" dataDxfId="1"/>
    <tableColumn id="7" xr3:uid="{61F6B66F-0C94-4C77-849E-EC3F9DD584B8}" name="IsWeekend"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4C9ED-A03E-4B3C-A87A-BCEABAD02A88}">
  <dimension ref="A3:G11"/>
  <sheetViews>
    <sheetView zoomScale="87" workbookViewId="0">
      <selection activeCell="E3" sqref="E3"/>
    </sheetView>
  </sheetViews>
  <sheetFormatPr defaultRowHeight="15" x14ac:dyDescent="0.25"/>
  <cols>
    <col min="1" max="1" width="13.7109375" bestFit="1" customWidth="1"/>
    <col min="2" max="2" width="16.7109375" bestFit="1" customWidth="1"/>
    <col min="3" max="5" width="14.140625" bestFit="1" customWidth="1"/>
    <col min="6" max="6" width="18.140625" bestFit="1" customWidth="1"/>
    <col min="7" max="7" width="18" bestFit="1" customWidth="1"/>
    <col min="8" max="8" width="18.140625" bestFit="1" customWidth="1"/>
    <col min="9" max="9" width="18" bestFit="1" customWidth="1"/>
    <col min="10" max="10" width="17" bestFit="1" customWidth="1"/>
  </cols>
  <sheetData>
    <row r="3" spans="1:7" x14ac:dyDescent="0.25">
      <c r="B3" s="39" t="s">
        <v>349</v>
      </c>
    </row>
    <row r="4" spans="1:7" x14ac:dyDescent="0.25">
      <c r="B4">
        <v>2023</v>
      </c>
      <c r="D4">
        <v>2024</v>
      </c>
      <c r="F4" t="s">
        <v>351</v>
      </c>
      <c r="G4" t="s">
        <v>352</v>
      </c>
    </row>
    <row r="5" spans="1:7" x14ac:dyDescent="0.25">
      <c r="A5" s="39" t="s">
        <v>347</v>
      </c>
      <c r="B5" t="s">
        <v>350</v>
      </c>
      <c r="C5" t="s">
        <v>334</v>
      </c>
      <c r="D5" t="s">
        <v>350</v>
      </c>
      <c r="E5" t="s">
        <v>334</v>
      </c>
    </row>
    <row r="6" spans="1:7" x14ac:dyDescent="0.25">
      <c r="A6" s="40" t="s">
        <v>260</v>
      </c>
      <c r="B6" s="41">
        <v>872800</v>
      </c>
      <c r="C6" s="41">
        <v>872800</v>
      </c>
      <c r="D6" s="41">
        <v>558100</v>
      </c>
      <c r="E6" s="41">
        <v>558100</v>
      </c>
      <c r="F6" s="41">
        <v>1430900</v>
      </c>
      <c r="G6" s="41">
        <v>558100</v>
      </c>
    </row>
    <row r="7" spans="1:7" x14ac:dyDescent="0.25">
      <c r="A7" s="40" t="s">
        <v>257</v>
      </c>
      <c r="B7" s="41">
        <v>821600</v>
      </c>
      <c r="C7" s="41">
        <v>821600</v>
      </c>
      <c r="D7" s="41">
        <v>727100</v>
      </c>
      <c r="E7" s="41">
        <v>727100</v>
      </c>
      <c r="F7" s="41">
        <v>1548700</v>
      </c>
      <c r="G7" s="41">
        <v>727100</v>
      </c>
    </row>
    <row r="8" spans="1:7" x14ac:dyDescent="0.25">
      <c r="A8" s="40" t="s">
        <v>269</v>
      </c>
      <c r="B8" s="41">
        <v>615100</v>
      </c>
      <c r="C8" s="41">
        <v>615100</v>
      </c>
      <c r="D8" s="41">
        <v>671300</v>
      </c>
      <c r="E8" s="41">
        <v>671300</v>
      </c>
      <c r="F8" s="41">
        <v>1286400</v>
      </c>
      <c r="G8" s="41">
        <v>671300</v>
      </c>
    </row>
    <row r="9" spans="1:7" x14ac:dyDescent="0.25">
      <c r="A9" s="40" t="s">
        <v>266</v>
      </c>
      <c r="B9" s="41">
        <v>528900</v>
      </c>
      <c r="C9" s="41">
        <v>528900</v>
      </c>
      <c r="D9" s="41">
        <v>602500</v>
      </c>
      <c r="E9" s="41">
        <v>602500</v>
      </c>
      <c r="F9" s="41">
        <v>1131400</v>
      </c>
      <c r="G9" s="41">
        <v>602500</v>
      </c>
    </row>
    <row r="10" spans="1:7" x14ac:dyDescent="0.25">
      <c r="A10" s="40" t="s">
        <v>263</v>
      </c>
      <c r="B10" s="41">
        <v>881600</v>
      </c>
      <c r="C10" s="41">
        <v>881600</v>
      </c>
      <c r="D10" s="41">
        <v>584200</v>
      </c>
      <c r="E10" s="41">
        <v>584200</v>
      </c>
      <c r="F10" s="41">
        <v>1465800</v>
      </c>
      <c r="G10" s="41">
        <v>584200</v>
      </c>
    </row>
    <row r="11" spans="1:7" x14ac:dyDescent="0.25">
      <c r="A11" s="40" t="s">
        <v>348</v>
      </c>
      <c r="B11" s="41">
        <v>3720000</v>
      </c>
      <c r="C11" s="41">
        <v>3720000</v>
      </c>
      <c r="D11" s="41">
        <v>3143200</v>
      </c>
      <c r="E11" s="41">
        <v>3143200</v>
      </c>
      <c r="F11" s="41">
        <v>6863200</v>
      </c>
      <c r="G11" s="41">
        <v>3143200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E0952-6E19-40B0-B3F9-D475CB896D05}">
  <dimension ref="A1:T7"/>
  <sheetViews>
    <sheetView showGridLines="0" tabSelected="1" zoomScale="80" workbookViewId="0">
      <selection activeCell="I8" sqref="I8"/>
    </sheetView>
  </sheetViews>
  <sheetFormatPr defaultRowHeight="15" x14ac:dyDescent="0.25"/>
  <sheetData>
    <row r="1" spans="1:20" ht="23.25" x14ac:dyDescent="0.25">
      <c r="A1" s="55" t="s">
        <v>354</v>
      </c>
      <c r="B1" s="55"/>
      <c r="C1" s="55"/>
      <c r="D1" s="55"/>
      <c r="E1" s="55"/>
      <c r="F1" s="55"/>
      <c r="G1" s="55"/>
      <c r="H1" s="55"/>
      <c r="I1" s="55"/>
      <c r="J1" s="55"/>
      <c r="K1" s="55"/>
      <c r="L1" s="55"/>
      <c r="M1" s="55"/>
      <c r="N1" s="55"/>
      <c r="O1" s="55"/>
      <c r="P1" s="55"/>
      <c r="Q1" s="55"/>
      <c r="R1" s="55"/>
      <c r="S1" s="55"/>
      <c r="T1" s="55"/>
    </row>
    <row r="2" spans="1:20" x14ac:dyDescent="0.25">
      <c r="A2" s="43" t="s">
        <v>319</v>
      </c>
      <c r="B2" s="44"/>
      <c r="C2" s="45"/>
      <c r="E2" s="43" t="s">
        <v>334</v>
      </c>
      <c r="F2" s="44"/>
      <c r="G2" s="45"/>
      <c r="H2" s="42"/>
      <c r="I2" s="43" t="s">
        <v>340</v>
      </c>
      <c r="J2" s="44"/>
      <c r="K2" s="45"/>
      <c r="L2" s="42"/>
      <c r="M2" s="43" t="s">
        <v>353</v>
      </c>
      <c r="N2" s="44"/>
      <c r="O2" s="45"/>
    </row>
    <row r="3" spans="1:20" x14ac:dyDescent="0.25">
      <c r="A3" s="46"/>
      <c r="B3" s="47"/>
      <c r="C3" s="48"/>
      <c r="E3" s="46"/>
      <c r="F3" s="47"/>
      <c r="G3" s="48"/>
      <c r="H3" s="42"/>
      <c r="I3" s="46"/>
      <c r="J3" s="47"/>
      <c r="K3" s="48"/>
      <c r="L3" s="42"/>
      <c r="M3" s="46"/>
      <c r="N3" s="47"/>
      <c r="O3" s="48"/>
    </row>
    <row r="4" spans="1:20" x14ac:dyDescent="0.25">
      <c r="A4" s="46"/>
      <c r="B4" s="47"/>
      <c r="C4" s="48"/>
      <c r="E4" s="46"/>
      <c r="F4" s="47"/>
      <c r="G4" s="48"/>
      <c r="H4" s="42"/>
      <c r="I4" s="46"/>
      <c r="J4" s="47"/>
      <c r="K4" s="48"/>
      <c r="L4" s="42"/>
      <c r="M4" s="46"/>
      <c r="N4" s="47"/>
      <c r="O4" s="48"/>
    </row>
    <row r="5" spans="1:20" x14ac:dyDescent="0.25">
      <c r="A5" s="56">
        <f>GETPIVOTDATA("[Measures].[Toal Revenue]",Pivot!$A$3)</f>
        <v>6863200</v>
      </c>
      <c r="B5" s="57"/>
      <c r="C5" s="58"/>
      <c r="E5" s="49">
        <f>GETPIVOTDATA("[Measures].[YTD Revenue]",Pivot!$A$3)</f>
        <v>3143200</v>
      </c>
      <c r="F5" s="50"/>
      <c r="G5" s="51"/>
      <c r="H5" s="42"/>
      <c r="I5" s="63" vm="1">
        <f>CUBEVALUE("ThisWorkbookDataModel","[Measures].[YoY Growth]")</f>
        <v>0.84494623655913981</v>
      </c>
      <c r="J5" s="64"/>
      <c r="K5" s="65"/>
      <c r="L5" s="42"/>
      <c r="M5" s="49">
        <f>COUNTA(tblSales[OrderID])</f>
        <v>200</v>
      </c>
      <c r="N5" s="50"/>
      <c r="O5" s="51"/>
    </row>
    <row r="6" spans="1:20" x14ac:dyDescent="0.25">
      <c r="A6" s="59"/>
      <c r="B6" s="57"/>
      <c r="C6" s="58"/>
      <c r="E6" s="49"/>
      <c r="F6" s="50"/>
      <c r="G6" s="51"/>
      <c r="H6" s="42"/>
      <c r="I6" s="63"/>
      <c r="J6" s="64"/>
      <c r="K6" s="65"/>
      <c r="L6" s="42"/>
      <c r="M6" s="49"/>
      <c r="N6" s="50"/>
      <c r="O6" s="51"/>
    </row>
    <row r="7" spans="1:20" x14ac:dyDescent="0.25">
      <c r="A7" s="60"/>
      <c r="B7" s="61"/>
      <c r="C7" s="62"/>
      <c r="E7" s="52"/>
      <c r="F7" s="53"/>
      <c r="G7" s="54"/>
      <c r="H7" s="42"/>
      <c r="I7" s="66"/>
      <c r="J7" s="67"/>
      <c r="K7" s="68"/>
      <c r="L7" s="42"/>
      <c r="M7" s="52"/>
      <c r="N7" s="53"/>
      <c r="O7" s="54"/>
    </row>
  </sheetData>
  <mergeCells count="9">
    <mergeCell ref="M2:O4"/>
    <mergeCell ref="M5:O7"/>
    <mergeCell ref="A1:T1"/>
    <mergeCell ref="A2:C4"/>
    <mergeCell ref="A5:C7"/>
    <mergeCell ref="E2:G4"/>
    <mergeCell ref="E5:G7"/>
    <mergeCell ref="I2:K4"/>
    <mergeCell ref="I5:K7"/>
  </mergeCells>
  <phoneticPr fontId="14" type="noConversion"/>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03"/>
  <sheetViews>
    <sheetView topLeftCell="A190" workbookViewId="0">
      <selection activeCell="A6" sqref="A6"/>
    </sheetView>
  </sheetViews>
  <sheetFormatPr defaultRowHeight="15" x14ac:dyDescent="0.25"/>
  <cols>
    <col min="1" max="1" width="12" customWidth="1"/>
    <col min="2" max="2" width="13.28515625" customWidth="1"/>
    <col min="3" max="3" width="15.140625" customWidth="1"/>
    <col min="4" max="5" width="12" customWidth="1"/>
    <col min="6" max="6" width="6.5703125" customWidth="1"/>
  </cols>
  <sheetData>
    <row r="1" spans="1:6" ht="27.95" customHeight="1" x14ac:dyDescent="0.25">
      <c r="A1" s="1" t="s">
        <v>0</v>
      </c>
    </row>
    <row r="3" spans="1:6" x14ac:dyDescent="0.25">
      <c r="A3" s="18" t="s">
        <v>1</v>
      </c>
      <c r="B3" s="19" t="s">
        <v>2</v>
      </c>
      <c r="C3" s="19" t="s">
        <v>3</v>
      </c>
      <c r="D3" s="19" t="s">
        <v>4</v>
      </c>
      <c r="E3" s="19" t="s">
        <v>5</v>
      </c>
      <c r="F3" s="20" t="s">
        <v>6</v>
      </c>
    </row>
    <row r="4" spans="1:6" x14ac:dyDescent="0.25">
      <c r="A4" s="16" t="s">
        <v>7</v>
      </c>
      <c r="B4" s="3" t="s">
        <v>8</v>
      </c>
      <c r="C4" s="3" t="s">
        <v>9</v>
      </c>
      <c r="D4" s="4">
        <v>45408</v>
      </c>
      <c r="E4" s="5">
        <v>12500</v>
      </c>
      <c r="F4" s="17">
        <v>5</v>
      </c>
    </row>
    <row r="5" spans="1:6" x14ac:dyDescent="0.25">
      <c r="A5" s="16" t="s">
        <v>10</v>
      </c>
      <c r="B5" s="3" t="s">
        <v>11</v>
      </c>
      <c r="C5" s="3" t="s">
        <v>12</v>
      </c>
      <c r="D5" s="4">
        <v>45346</v>
      </c>
      <c r="E5" s="5">
        <v>80000</v>
      </c>
      <c r="F5" s="17">
        <v>4</v>
      </c>
    </row>
    <row r="6" spans="1:6" x14ac:dyDescent="0.25">
      <c r="A6" s="16" t="s">
        <v>13</v>
      </c>
      <c r="B6" s="3" t="s">
        <v>14</v>
      </c>
      <c r="C6" s="3" t="s">
        <v>15</v>
      </c>
      <c r="D6" s="4">
        <v>45289</v>
      </c>
      <c r="E6" s="5">
        <v>25000</v>
      </c>
      <c r="F6" s="17">
        <v>10</v>
      </c>
    </row>
    <row r="7" spans="1:6" x14ac:dyDescent="0.25">
      <c r="A7" s="16" t="s">
        <v>16</v>
      </c>
      <c r="B7" s="3" t="s">
        <v>17</v>
      </c>
      <c r="C7" s="3" t="s">
        <v>15</v>
      </c>
      <c r="D7" s="4">
        <v>45243</v>
      </c>
      <c r="E7" s="5">
        <v>5000</v>
      </c>
      <c r="F7" s="17">
        <v>2</v>
      </c>
    </row>
    <row r="8" spans="1:6" x14ac:dyDescent="0.25">
      <c r="A8" s="16" t="s">
        <v>18</v>
      </c>
      <c r="B8" s="3" t="s">
        <v>19</v>
      </c>
      <c r="C8" s="3" t="s">
        <v>20</v>
      </c>
      <c r="D8" s="4">
        <v>45632</v>
      </c>
      <c r="E8" s="5">
        <v>22500</v>
      </c>
      <c r="F8" s="17">
        <v>9</v>
      </c>
    </row>
    <row r="9" spans="1:6" x14ac:dyDescent="0.25">
      <c r="A9" s="16" t="s">
        <v>21</v>
      </c>
      <c r="B9" s="3" t="s">
        <v>22</v>
      </c>
      <c r="C9" s="3" t="s">
        <v>23</v>
      </c>
      <c r="D9" s="4">
        <v>45348</v>
      </c>
      <c r="E9" s="5">
        <v>140000</v>
      </c>
      <c r="F9" s="17">
        <v>7</v>
      </c>
    </row>
    <row r="10" spans="1:6" x14ac:dyDescent="0.25">
      <c r="A10" s="16" t="s">
        <v>24</v>
      </c>
      <c r="B10" s="3" t="s">
        <v>8</v>
      </c>
      <c r="C10" s="3" t="s">
        <v>25</v>
      </c>
      <c r="D10" s="4">
        <v>45054</v>
      </c>
      <c r="E10" s="5">
        <v>56000</v>
      </c>
      <c r="F10" s="17">
        <v>7</v>
      </c>
    </row>
    <row r="11" spans="1:6" x14ac:dyDescent="0.25">
      <c r="A11" s="16" t="s">
        <v>26</v>
      </c>
      <c r="B11" s="3" t="s">
        <v>27</v>
      </c>
      <c r="C11" s="3" t="s">
        <v>25</v>
      </c>
      <c r="D11" s="4">
        <v>45280</v>
      </c>
      <c r="E11" s="5">
        <v>84000</v>
      </c>
      <c r="F11" s="17">
        <v>7</v>
      </c>
    </row>
    <row r="12" spans="1:6" x14ac:dyDescent="0.25">
      <c r="A12" s="16" t="s">
        <v>28</v>
      </c>
      <c r="B12" s="3" t="s">
        <v>27</v>
      </c>
      <c r="C12" s="3" t="s">
        <v>29</v>
      </c>
      <c r="D12" s="4">
        <v>45251</v>
      </c>
      <c r="E12" s="5">
        <v>10000</v>
      </c>
      <c r="F12" s="17">
        <v>4</v>
      </c>
    </row>
    <row r="13" spans="1:6" x14ac:dyDescent="0.25">
      <c r="A13" s="16" t="s">
        <v>30</v>
      </c>
      <c r="B13" s="3" t="s">
        <v>27</v>
      </c>
      <c r="C13" s="3" t="s">
        <v>31</v>
      </c>
      <c r="D13" s="4">
        <v>44968</v>
      </c>
      <c r="E13" s="5">
        <v>40000</v>
      </c>
      <c r="F13" s="17">
        <v>5</v>
      </c>
    </row>
    <row r="14" spans="1:6" x14ac:dyDescent="0.25">
      <c r="A14" s="16" t="s">
        <v>32</v>
      </c>
      <c r="B14" s="3" t="s">
        <v>14</v>
      </c>
      <c r="C14" s="3" t="s">
        <v>33</v>
      </c>
      <c r="D14" s="4">
        <v>45510</v>
      </c>
      <c r="E14" s="5">
        <v>16000</v>
      </c>
      <c r="F14" s="17">
        <v>2</v>
      </c>
    </row>
    <row r="15" spans="1:6" x14ac:dyDescent="0.25">
      <c r="A15" s="16" t="s">
        <v>34</v>
      </c>
      <c r="B15" s="3" t="s">
        <v>27</v>
      </c>
      <c r="C15" s="3" t="s">
        <v>35</v>
      </c>
      <c r="D15" s="4">
        <v>45595</v>
      </c>
      <c r="E15" s="5">
        <v>64000</v>
      </c>
      <c r="F15" s="17">
        <v>8</v>
      </c>
    </row>
    <row r="16" spans="1:6" x14ac:dyDescent="0.25">
      <c r="A16" s="16" t="s">
        <v>36</v>
      </c>
      <c r="B16" s="3" t="s">
        <v>27</v>
      </c>
      <c r="C16" s="3" t="s">
        <v>23</v>
      </c>
      <c r="D16" s="4">
        <v>45066</v>
      </c>
      <c r="E16" s="5">
        <v>9600</v>
      </c>
      <c r="F16" s="17">
        <v>8</v>
      </c>
    </row>
    <row r="17" spans="1:6" x14ac:dyDescent="0.25">
      <c r="A17" s="16" t="s">
        <v>37</v>
      </c>
      <c r="B17" s="3" t="s">
        <v>14</v>
      </c>
      <c r="C17" s="3" t="s">
        <v>33</v>
      </c>
      <c r="D17" s="4">
        <v>45195</v>
      </c>
      <c r="E17" s="5">
        <v>48000</v>
      </c>
      <c r="F17" s="17">
        <v>6</v>
      </c>
    </row>
    <row r="18" spans="1:6" x14ac:dyDescent="0.25">
      <c r="A18" s="16" t="s">
        <v>38</v>
      </c>
      <c r="B18" s="3" t="s">
        <v>19</v>
      </c>
      <c r="C18" s="3" t="s">
        <v>39</v>
      </c>
      <c r="D18" s="4">
        <v>45652</v>
      </c>
      <c r="E18" s="5">
        <v>24000</v>
      </c>
      <c r="F18" s="17">
        <v>3</v>
      </c>
    </row>
    <row r="19" spans="1:6" x14ac:dyDescent="0.25">
      <c r="A19" s="16" t="s">
        <v>40</v>
      </c>
      <c r="B19" s="3" t="s">
        <v>41</v>
      </c>
      <c r="C19" s="3" t="s">
        <v>42</v>
      </c>
      <c r="D19" s="4">
        <v>45138</v>
      </c>
      <c r="E19" s="5">
        <v>1500</v>
      </c>
      <c r="F19" s="17">
        <v>3</v>
      </c>
    </row>
    <row r="20" spans="1:6" x14ac:dyDescent="0.25">
      <c r="A20" s="16" t="s">
        <v>43</v>
      </c>
      <c r="B20" s="3" t="s">
        <v>19</v>
      </c>
      <c r="C20" s="3" t="s">
        <v>35</v>
      </c>
      <c r="D20" s="4">
        <v>45081</v>
      </c>
      <c r="E20" s="5">
        <v>15000</v>
      </c>
      <c r="F20" s="17">
        <v>6</v>
      </c>
    </row>
    <row r="21" spans="1:6" x14ac:dyDescent="0.25">
      <c r="A21" s="16" t="s">
        <v>44</v>
      </c>
      <c r="B21" s="3" t="s">
        <v>27</v>
      </c>
      <c r="C21" s="3" t="s">
        <v>45</v>
      </c>
      <c r="D21" s="4">
        <v>45010</v>
      </c>
      <c r="E21" s="5">
        <v>80000</v>
      </c>
      <c r="F21" s="17">
        <v>4</v>
      </c>
    </row>
    <row r="22" spans="1:6" x14ac:dyDescent="0.25">
      <c r="A22" s="16" t="s">
        <v>46</v>
      </c>
      <c r="B22" s="3" t="s">
        <v>11</v>
      </c>
      <c r="C22" s="3" t="s">
        <v>47</v>
      </c>
      <c r="D22" s="4">
        <v>45543</v>
      </c>
      <c r="E22" s="5">
        <v>108000</v>
      </c>
      <c r="F22" s="17">
        <v>9</v>
      </c>
    </row>
    <row r="23" spans="1:6" x14ac:dyDescent="0.25">
      <c r="A23" s="16" t="s">
        <v>48</v>
      </c>
      <c r="B23" s="3" t="s">
        <v>14</v>
      </c>
      <c r="C23" s="3" t="s">
        <v>49</v>
      </c>
      <c r="D23" s="4">
        <v>45606</v>
      </c>
      <c r="E23" s="5">
        <v>10000</v>
      </c>
      <c r="F23" s="17">
        <v>2</v>
      </c>
    </row>
    <row r="24" spans="1:6" x14ac:dyDescent="0.25">
      <c r="A24" s="16" t="s">
        <v>50</v>
      </c>
      <c r="B24" s="3" t="s">
        <v>11</v>
      </c>
      <c r="C24" s="3" t="s">
        <v>20</v>
      </c>
      <c r="D24" s="4">
        <v>45236</v>
      </c>
      <c r="E24" s="5">
        <v>50000</v>
      </c>
      <c r="F24" s="17">
        <v>10</v>
      </c>
    </row>
    <row r="25" spans="1:6" x14ac:dyDescent="0.25">
      <c r="A25" s="16" t="s">
        <v>51</v>
      </c>
      <c r="B25" s="3" t="s">
        <v>41</v>
      </c>
      <c r="C25" s="3" t="s">
        <v>47</v>
      </c>
      <c r="D25" s="4">
        <v>45466</v>
      </c>
      <c r="E25" s="5">
        <v>10000</v>
      </c>
      <c r="F25" s="17">
        <v>4</v>
      </c>
    </row>
    <row r="26" spans="1:6" x14ac:dyDescent="0.25">
      <c r="A26" s="16" t="s">
        <v>52</v>
      </c>
      <c r="B26" s="3" t="s">
        <v>8</v>
      </c>
      <c r="C26" s="3" t="s">
        <v>15</v>
      </c>
      <c r="D26" s="4">
        <v>45324</v>
      </c>
      <c r="E26" s="5">
        <v>32000</v>
      </c>
      <c r="F26" s="17">
        <v>4</v>
      </c>
    </row>
    <row r="27" spans="1:6" x14ac:dyDescent="0.25">
      <c r="A27" s="16" t="s">
        <v>53</v>
      </c>
      <c r="B27" s="3" t="s">
        <v>22</v>
      </c>
      <c r="C27" s="3" t="s">
        <v>9</v>
      </c>
      <c r="D27" s="4">
        <v>45290</v>
      </c>
      <c r="E27" s="5">
        <v>108000</v>
      </c>
      <c r="F27" s="17">
        <v>9</v>
      </c>
    </row>
    <row r="28" spans="1:6" x14ac:dyDescent="0.25">
      <c r="A28" s="16" t="s">
        <v>54</v>
      </c>
      <c r="B28" s="3" t="s">
        <v>41</v>
      </c>
      <c r="C28" s="3" t="s">
        <v>42</v>
      </c>
      <c r="D28" s="4">
        <v>45575</v>
      </c>
      <c r="E28" s="5">
        <v>2000</v>
      </c>
      <c r="F28" s="17">
        <v>4</v>
      </c>
    </row>
    <row r="29" spans="1:6" x14ac:dyDescent="0.25">
      <c r="A29" s="16" t="s">
        <v>55</v>
      </c>
      <c r="B29" s="3" t="s">
        <v>8</v>
      </c>
      <c r="C29" s="3" t="s">
        <v>49</v>
      </c>
      <c r="D29" s="4">
        <v>45457</v>
      </c>
      <c r="E29" s="5">
        <v>8000</v>
      </c>
      <c r="F29" s="17">
        <v>10</v>
      </c>
    </row>
    <row r="30" spans="1:6" x14ac:dyDescent="0.25">
      <c r="A30" s="16" t="s">
        <v>56</v>
      </c>
      <c r="B30" s="3" t="s">
        <v>8</v>
      </c>
      <c r="C30" s="3" t="s">
        <v>35</v>
      </c>
      <c r="D30" s="4">
        <v>45443</v>
      </c>
      <c r="E30" s="5">
        <v>9600</v>
      </c>
      <c r="F30" s="17">
        <v>8</v>
      </c>
    </row>
    <row r="31" spans="1:6" x14ac:dyDescent="0.25">
      <c r="A31" s="16" t="s">
        <v>57</v>
      </c>
      <c r="B31" s="3" t="s">
        <v>41</v>
      </c>
      <c r="C31" s="3" t="s">
        <v>20</v>
      </c>
      <c r="D31" s="4">
        <v>45092</v>
      </c>
      <c r="E31" s="5">
        <v>8000</v>
      </c>
      <c r="F31" s="17">
        <v>10</v>
      </c>
    </row>
    <row r="32" spans="1:6" x14ac:dyDescent="0.25">
      <c r="A32" s="16" t="s">
        <v>58</v>
      </c>
      <c r="B32" s="3" t="s">
        <v>22</v>
      </c>
      <c r="C32" s="3" t="s">
        <v>33</v>
      </c>
      <c r="D32" s="4">
        <v>45535</v>
      </c>
      <c r="E32" s="5">
        <v>2400</v>
      </c>
      <c r="F32" s="17">
        <v>2</v>
      </c>
    </row>
    <row r="33" spans="1:6" x14ac:dyDescent="0.25">
      <c r="A33" s="16" t="s">
        <v>59</v>
      </c>
      <c r="B33" s="3" t="s">
        <v>17</v>
      </c>
      <c r="C33" s="3" t="s">
        <v>31</v>
      </c>
      <c r="D33" s="4">
        <v>45484</v>
      </c>
      <c r="E33" s="5">
        <v>10000</v>
      </c>
      <c r="F33" s="17">
        <v>2</v>
      </c>
    </row>
    <row r="34" spans="1:6" x14ac:dyDescent="0.25">
      <c r="A34" s="16" t="s">
        <v>60</v>
      </c>
      <c r="B34" s="3" t="s">
        <v>8</v>
      </c>
      <c r="C34" s="3" t="s">
        <v>61</v>
      </c>
      <c r="D34" s="4">
        <v>44956</v>
      </c>
      <c r="E34" s="5">
        <v>5000</v>
      </c>
      <c r="F34" s="17">
        <v>2</v>
      </c>
    </row>
    <row r="35" spans="1:6" x14ac:dyDescent="0.25">
      <c r="A35" s="16" t="s">
        <v>62</v>
      </c>
      <c r="B35" s="3" t="s">
        <v>27</v>
      </c>
      <c r="C35" s="3" t="s">
        <v>49</v>
      </c>
      <c r="D35" s="4">
        <v>45520</v>
      </c>
      <c r="E35" s="5">
        <v>9600</v>
      </c>
      <c r="F35" s="17">
        <v>8</v>
      </c>
    </row>
    <row r="36" spans="1:6" x14ac:dyDescent="0.25">
      <c r="A36" s="16" t="s">
        <v>63</v>
      </c>
      <c r="B36" s="3" t="s">
        <v>17</v>
      </c>
      <c r="C36" s="3" t="s">
        <v>64</v>
      </c>
      <c r="D36" s="4">
        <v>45411</v>
      </c>
      <c r="E36" s="5">
        <v>160000</v>
      </c>
      <c r="F36" s="17">
        <v>8</v>
      </c>
    </row>
    <row r="37" spans="1:6" x14ac:dyDescent="0.25">
      <c r="A37" s="16" t="s">
        <v>65</v>
      </c>
      <c r="B37" s="3" t="s">
        <v>14</v>
      </c>
      <c r="C37" s="3" t="s">
        <v>9</v>
      </c>
      <c r="D37" s="4">
        <v>45149</v>
      </c>
      <c r="E37" s="5">
        <v>96000</v>
      </c>
      <c r="F37" s="17">
        <v>8</v>
      </c>
    </row>
    <row r="38" spans="1:6" x14ac:dyDescent="0.25">
      <c r="A38" s="16" t="s">
        <v>66</v>
      </c>
      <c r="B38" s="3" t="s">
        <v>8</v>
      </c>
      <c r="C38" s="3" t="s">
        <v>49</v>
      </c>
      <c r="D38" s="4">
        <v>45535</v>
      </c>
      <c r="E38" s="5">
        <v>15000</v>
      </c>
      <c r="F38" s="17">
        <v>3</v>
      </c>
    </row>
    <row r="39" spans="1:6" x14ac:dyDescent="0.25">
      <c r="A39" s="16" t="s">
        <v>67</v>
      </c>
      <c r="B39" s="3" t="s">
        <v>27</v>
      </c>
      <c r="C39" s="3" t="s">
        <v>39</v>
      </c>
      <c r="D39" s="4">
        <v>45334</v>
      </c>
      <c r="E39" s="5">
        <v>120000</v>
      </c>
      <c r="F39" s="17">
        <v>6</v>
      </c>
    </row>
    <row r="40" spans="1:6" x14ac:dyDescent="0.25">
      <c r="A40" s="16" t="s">
        <v>68</v>
      </c>
      <c r="B40" s="3" t="s">
        <v>22</v>
      </c>
      <c r="C40" s="3" t="s">
        <v>42</v>
      </c>
      <c r="D40" s="4">
        <v>45630</v>
      </c>
      <c r="E40" s="5">
        <v>3000</v>
      </c>
      <c r="F40" s="17">
        <v>6</v>
      </c>
    </row>
    <row r="41" spans="1:6" x14ac:dyDescent="0.25">
      <c r="A41" s="16" t="s">
        <v>69</v>
      </c>
      <c r="B41" s="3" t="s">
        <v>14</v>
      </c>
      <c r="C41" s="3" t="s">
        <v>61</v>
      </c>
      <c r="D41" s="4">
        <v>45155</v>
      </c>
      <c r="E41" s="5">
        <v>80000</v>
      </c>
      <c r="F41" s="17">
        <v>4</v>
      </c>
    </row>
    <row r="42" spans="1:6" x14ac:dyDescent="0.25">
      <c r="A42" s="16" t="s">
        <v>70</v>
      </c>
      <c r="B42" s="3" t="s">
        <v>19</v>
      </c>
      <c r="C42" s="3" t="s">
        <v>12</v>
      </c>
      <c r="D42" s="4">
        <v>45494</v>
      </c>
      <c r="E42" s="5">
        <v>12000</v>
      </c>
      <c r="F42" s="17">
        <v>1</v>
      </c>
    </row>
    <row r="43" spans="1:6" x14ac:dyDescent="0.25">
      <c r="A43" s="16" t="s">
        <v>71</v>
      </c>
      <c r="B43" s="3" t="s">
        <v>22</v>
      </c>
      <c r="C43" s="3" t="s">
        <v>15</v>
      </c>
      <c r="D43" s="4">
        <v>45267</v>
      </c>
      <c r="E43" s="5">
        <v>30000</v>
      </c>
      <c r="F43" s="17">
        <v>6</v>
      </c>
    </row>
    <row r="44" spans="1:6" x14ac:dyDescent="0.25">
      <c r="A44" s="16" t="s">
        <v>72</v>
      </c>
      <c r="B44" s="3" t="s">
        <v>8</v>
      </c>
      <c r="C44" s="3" t="s">
        <v>35</v>
      </c>
      <c r="D44" s="4">
        <v>45609</v>
      </c>
      <c r="E44" s="5">
        <v>8000</v>
      </c>
      <c r="F44" s="17">
        <v>10</v>
      </c>
    </row>
    <row r="45" spans="1:6" x14ac:dyDescent="0.25">
      <c r="A45" s="16" t="s">
        <v>73</v>
      </c>
      <c r="B45" s="3" t="s">
        <v>41</v>
      </c>
      <c r="C45" s="3" t="s">
        <v>20</v>
      </c>
      <c r="D45" s="4">
        <v>45368</v>
      </c>
      <c r="E45" s="5">
        <v>1500</v>
      </c>
      <c r="F45" s="17">
        <v>3</v>
      </c>
    </row>
    <row r="46" spans="1:6" x14ac:dyDescent="0.25">
      <c r="A46" s="16" t="s">
        <v>74</v>
      </c>
      <c r="B46" s="3" t="s">
        <v>11</v>
      </c>
      <c r="C46" s="3" t="s">
        <v>64</v>
      </c>
      <c r="D46" s="4">
        <v>45273</v>
      </c>
      <c r="E46" s="5">
        <v>9600</v>
      </c>
      <c r="F46" s="17">
        <v>8</v>
      </c>
    </row>
    <row r="47" spans="1:6" x14ac:dyDescent="0.25">
      <c r="A47" s="16" t="s">
        <v>75</v>
      </c>
      <c r="B47" s="3" t="s">
        <v>19</v>
      </c>
      <c r="C47" s="3" t="s">
        <v>29</v>
      </c>
      <c r="D47" s="4">
        <v>45298</v>
      </c>
      <c r="E47" s="5">
        <v>64000</v>
      </c>
      <c r="F47" s="17">
        <v>8</v>
      </c>
    </row>
    <row r="48" spans="1:6" x14ac:dyDescent="0.25">
      <c r="A48" s="16" t="s">
        <v>76</v>
      </c>
      <c r="B48" s="3" t="s">
        <v>22</v>
      </c>
      <c r="C48" s="3" t="s">
        <v>42</v>
      </c>
      <c r="D48" s="4">
        <v>45090</v>
      </c>
      <c r="E48" s="5">
        <v>16000</v>
      </c>
      <c r="F48" s="17">
        <v>2</v>
      </c>
    </row>
    <row r="49" spans="1:6" x14ac:dyDescent="0.25">
      <c r="A49" s="16" t="s">
        <v>77</v>
      </c>
      <c r="B49" s="3" t="s">
        <v>8</v>
      </c>
      <c r="C49" s="3" t="s">
        <v>15</v>
      </c>
      <c r="D49" s="4">
        <v>45362</v>
      </c>
      <c r="E49" s="5">
        <v>1000</v>
      </c>
      <c r="F49" s="17">
        <v>2</v>
      </c>
    </row>
    <row r="50" spans="1:6" x14ac:dyDescent="0.25">
      <c r="A50" s="16" t="s">
        <v>78</v>
      </c>
      <c r="B50" s="3" t="s">
        <v>14</v>
      </c>
      <c r="C50" s="3" t="s">
        <v>31</v>
      </c>
      <c r="D50" s="4">
        <v>45602</v>
      </c>
      <c r="E50" s="5">
        <v>12500</v>
      </c>
      <c r="F50" s="17">
        <v>5</v>
      </c>
    </row>
    <row r="51" spans="1:6" x14ac:dyDescent="0.25">
      <c r="A51" s="16" t="s">
        <v>79</v>
      </c>
      <c r="B51" s="3" t="s">
        <v>17</v>
      </c>
      <c r="C51" s="3" t="s">
        <v>12</v>
      </c>
      <c r="D51" s="4">
        <v>45047</v>
      </c>
      <c r="E51" s="5">
        <v>12000</v>
      </c>
      <c r="F51" s="17">
        <v>10</v>
      </c>
    </row>
    <row r="52" spans="1:6" x14ac:dyDescent="0.25">
      <c r="A52" s="16" t="s">
        <v>80</v>
      </c>
      <c r="B52" s="3" t="s">
        <v>41</v>
      </c>
      <c r="C52" s="3" t="s">
        <v>29</v>
      </c>
      <c r="D52" s="4">
        <v>45144</v>
      </c>
      <c r="E52" s="5">
        <v>10000</v>
      </c>
      <c r="F52" s="17">
        <v>2</v>
      </c>
    </row>
    <row r="53" spans="1:6" x14ac:dyDescent="0.25">
      <c r="A53" s="16" t="s">
        <v>81</v>
      </c>
      <c r="B53" s="3" t="s">
        <v>8</v>
      </c>
      <c r="C53" s="3" t="s">
        <v>35</v>
      </c>
      <c r="D53" s="4">
        <v>45371</v>
      </c>
      <c r="E53" s="5">
        <v>800</v>
      </c>
      <c r="F53" s="17">
        <v>1</v>
      </c>
    </row>
    <row r="54" spans="1:6" x14ac:dyDescent="0.25">
      <c r="A54" s="16" t="s">
        <v>82</v>
      </c>
      <c r="B54" s="3" t="s">
        <v>14</v>
      </c>
      <c r="C54" s="3" t="s">
        <v>12</v>
      </c>
      <c r="D54" s="4">
        <v>45130</v>
      </c>
      <c r="E54" s="5">
        <v>120000</v>
      </c>
      <c r="F54" s="17">
        <v>10</v>
      </c>
    </row>
    <row r="55" spans="1:6" x14ac:dyDescent="0.25">
      <c r="A55" s="16" t="s">
        <v>83</v>
      </c>
      <c r="B55" s="3" t="s">
        <v>8</v>
      </c>
      <c r="C55" s="3" t="s">
        <v>35</v>
      </c>
      <c r="D55" s="4">
        <v>45383</v>
      </c>
      <c r="E55" s="5">
        <v>45000</v>
      </c>
      <c r="F55" s="17">
        <v>9</v>
      </c>
    </row>
    <row r="56" spans="1:6" x14ac:dyDescent="0.25">
      <c r="A56" s="16" t="s">
        <v>84</v>
      </c>
      <c r="B56" s="3" t="s">
        <v>17</v>
      </c>
      <c r="C56" s="3" t="s">
        <v>85</v>
      </c>
      <c r="D56" s="4">
        <v>45210</v>
      </c>
      <c r="E56" s="5">
        <v>24000</v>
      </c>
      <c r="F56" s="17">
        <v>2</v>
      </c>
    </row>
    <row r="57" spans="1:6" x14ac:dyDescent="0.25">
      <c r="A57" s="16" t="s">
        <v>86</v>
      </c>
      <c r="B57" s="3" t="s">
        <v>11</v>
      </c>
      <c r="C57" s="3" t="s">
        <v>25</v>
      </c>
      <c r="D57" s="4">
        <v>45334</v>
      </c>
      <c r="E57" s="5">
        <v>22500</v>
      </c>
      <c r="F57" s="17">
        <v>9</v>
      </c>
    </row>
    <row r="58" spans="1:6" x14ac:dyDescent="0.25">
      <c r="A58" s="16" t="s">
        <v>87</v>
      </c>
      <c r="B58" s="3" t="s">
        <v>17</v>
      </c>
      <c r="C58" s="3" t="s">
        <v>35</v>
      </c>
      <c r="D58" s="4">
        <v>45170</v>
      </c>
      <c r="E58" s="5">
        <v>140000</v>
      </c>
      <c r="F58" s="17">
        <v>7</v>
      </c>
    </row>
    <row r="59" spans="1:6" x14ac:dyDescent="0.25">
      <c r="A59" s="16" t="s">
        <v>88</v>
      </c>
      <c r="B59" s="3" t="s">
        <v>11</v>
      </c>
      <c r="C59" s="3" t="s">
        <v>45</v>
      </c>
      <c r="D59" s="4">
        <v>45513</v>
      </c>
      <c r="E59" s="5">
        <v>80000</v>
      </c>
      <c r="F59" s="17">
        <v>4</v>
      </c>
    </row>
    <row r="60" spans="1:6" x14ac:dyDescent="0.25">
      <c r="A60" s="16" t="s">
        <v>89</v>
      </c>
      <c r="B60" s="3" t="s">
        <v>22</v>
      </c>
      <c r="C60" s="3" t="s">
        <v>64</v>
      </c>
      <c r="D60" s="4">
        <v>45587</v>
      </c>
      <c r="E60" s="5">
        <v>17500</v>
      </c>
      <c r="F60" s="17">
        <v>7</v>
      </c>
    </row>
    <row r="61" spans="1:6" x14ac:dyDescent="0.25">
      <c r="A61" s="16" t="s">
        <v>90</v>
      </c>
      <c r="B61" s="3" t="s">
        <v>14</v>
      </c>
      <c r="C61" s="3" t="s">
        <v>15</v>
      </c>
      <c r="D61" s="4">
        <v>45196</v>
      </c>
      <c r="E61" s="5">
        <v>24000</v>
      </c>
      <c r="F61" s="17">
        <v>3</v>
      </c>
    </row>
    <row r="62" spans="1:6" x14ac:dyDescent="0.25">
      <c r="A62" s="16" t="s">
        <v>91</v>
      </c>
      <c r="B62" s="3" t="s">
        <v>8</v>
      </c>
      <c r="C62" s="3" t="s">
        <v>92</v>
      </c>
      <c r="D62" s="4">
        <v>45218</v>
      </c>
      <c r="E62" s="5">
        <v>22500</v>
      </c>
      <c r="F62" s="17">
        <v>9</v>
      </c>
    </row>
    <row r="63" spans="1:6" x14ac:dyDescent="0.25">
      <c r="A63" s="16" t="s">
        <v>93</v>
      </c>
      <c r="B63" s="3" t="s">
        <v>11</v>
      </c>
      <c r="C63" s="3" t="s">
        <v>45</v>
      </c>
      <c r="D63" s="4">
        <v>45401</v>
      </c>
      <c r="E63" s="5">
        <v>48000</v>
      </c>
      <c r="F63" s="17">
        <v>4</v>
      </c>
    </row>
    <row r="64" spans="1:6" x14ac:dyDescent="0.25">
      <c r="A64" s="16" t="s">
        <v>94</v>
      </c>
      <c r="B64" s="3" t="s">
        <v>8</v>
      </c>
      <c r="C64" s="3" t="s">
        <v>47</v>
      </c>
      <c r="D64" s="4">
        <v>45215</v>
      </c>
      <c r="E64" s="5">
        <v>3000</v>
      </c>
      <c r="F64" s="17">
        <v>6</v>
      </c>
    </row>
    <row r="65" spans="1:6" x14ac:dyDescent="0.25">
      <c r="A65" s="16" t="s">
        <v>95</v>
      </c>
      <c r="B65" s="3" t="s">
        <v>14</v>
      </c>
      <c r="C65" s="3" t="s">
        <v>92</v>
      </c>
      <c r="D65" s="4">
        <v>45538</v>
      </c>
      <c r="E65" s="5">
        <v>2400</v>
      </c>
      <c r="F65" s="17">
        <v>3</v>
      </c>
    </row>
    <row r="66" spans="1:6" x14ac:dyDescent="0.25">
      <c r="A66" s="16" t="s">
        <v>96</v>
      </c>
      <c r="B66" s="3" t="s">
        <v>17</v>
      </c>
      <c r="C66" s="3" t="s">
        <v>49</v>
      </c>
      <c r="D66" s="4">
        <v>45360</v>
      </c>
      <c r="E66" s="5">
        <v>10000</v>
      </c>
      <c r="F66" s="17">
        <v>2</v>
      </c>
    </row>
    <row r="67" spans="1:6" x14ac:dyDescent="0.25">
      <c r="A67" s="16" t="s">
        <v>97</v>
      </c>
      <c r="B67" s="3" t="s">
        <v>11</v>
      </c>
      <c r="C67" s="3" t="s">
        <v>15</v>
      </c>
      <c r="D67" s="4">
        <v>44960</v>
      </c>
      <c r="E67" s="5">
        <v>48000</v>
      </c>
      <c r="F67" s="17">
        <v>4</v>
      </c>
    </row>
    <row r="68" spans="1:6" x14ac:dyDescent="0.25">
      <c r="A68" s="16" t="s">
        <v>98</v>
      </c>
      <c r="B68" s="3" t="s">
        <v>27</v>
      </c>
      <c r="C68" s="3" t="s">
        <v>47</v>
      </c>
      <c r="D68" s="4">
        <v>45098</v>
      </c>
      <c r="E68" s="5">
        <v>4000</v>
      </c>
      <c r="F68" s="17">
        <v>5</v>
      </c>
    </row>
    <row r="69" spans="1:6" x14ac:dyDescent="0.25">
      <c r="A69" s="16" t="s">
        <v>99</v>
      </c>
      <c r="B69" s="3" t="s">
        <v>41</v>
      </c>
      <c r="C69" s="3" t="s">
        <v>42</v>
      </c>
      <c r="D69" s="4">
        <v>45400</v>
      </c>
      <c r="E69" s="5">
        <v>50000</v>
      </c>
      <c r="F69" s="17">
        <v>10</v>
      </c>
    </row>
    <row r="70" spans="1:6" x14ac:dyDescent="0.25">
      <c r="A70" s="16" t="s">
        <v>100</v>
      </c>
      <c r="B70" s="3" t="s">
        <v>14</v>
      </c>
      <c r="C70" s="3" t="s">
        <v>9</v>
      </c>
      <c r="D70" s="4">
        <v>45060</v>
      </c>
      <c r="E70" s="5">
        <v>5000</v>
      </c>
      <c r="F70" s="17">
        <v>2</v>
      </c>
    </row>
    <row r="71" spans="1:6" x14ac:dyDescent="0.25">
      <c r="A71" s="16" t="s">
        <v>101</v>
      </c>
      <c r="B71" s="3" t="s">
        <v>27</v>
      </c>
      <c r="C71" s="3" t="s">
        <v>39</v>
      </c>
      <c r="D71" s="4">
        <v>45525</v>
      </c>
      <c r="E71" s="5">
        <v>6000</v>
      </c>
      <c r="F71" s="17">
        <v>5</v>
      </c>
    </row>
    <row r="72" spans="1:6" x14ac:dyDescent="0.25">
      <c r="A72" s="16" t="s">
        <v>102</v>
      </c>
      <c r="B72" s="3" t="s">
        <v>14</v>
      </c>
      <c r="C72" s="3" t="s">
        <v>42</v>
      </c>
      <c r="D72" s="4">
        <v>45637</v>
      </c>
      <c r="E72" s="5">
        <v>24000</v>
      </c>
      <c r="F72" s="17">
        <v>3</v>
      </c>
    </row>
    <row r="73" spans="1:6" x14ac:dyDescent="0.25">
      <c r="A73" s="16" t="s">
        <v>103</v>
      </c>
      <c r="B73" s="3" t="s">
        <v>17</v>
      </c>
      <c r="C73" s="3" t="s">
        <v>25</v>
      </c>
      <c r="D73" s="4">
        <v>45349</v>
      </c>
      <c r="E73" s="5">
        <v>22500</v>
      </c>
      <c r="F73" s="17">
        <v>9</v>
      </c>
    </row>
    <row r="74" spans="1:6" x14ac:dyDescent="0.25">
      <c r="A74" s="16" t="s">
        <v>104</v>
      </c>
      <c r="B74" s="3" t="s">
        <v>11</v>
      </c>
      <c r="C74" s="3" t="s">
        <v>105</v>
      </c>
      <c r="D74" s="4">
        <v>44947</v>
      </c>
      <c r="E74" s="5">
        <v>15000</v>
      </c>
      <c r="F74" s="17">
        <v>3</v>
      </c>
    </row>
    <row r="75" spans="1:6" x14ac:dyDescent="0.25">
      <c r="A75" s="16" t="s">
        <v>106</v>
      </c>
      <c r="B75" s="3" t="s">
        <v>11</v>
      </c>
      <c r="C75" s="3" t="s">
        <v>49</v>
      </c>
      <c r="D75" s="4">
        <v>45102</v>
      </c>
      <c r="E75" s="5">
        <v>10800</v>
      </c>
      <c r="F75" s="17">
        <v>9</v>
      </c>
    </row>
    <row r="76" spans="1:6" x14ac:dyDescent="0.25">
      <c r="A76" s="16" t="s">
        <v>107</v>
      </c>
      <c r="B76" s="3" t="s">
        <v>14</v>
      </c>
      <c r="C76" s="3" t="s">
        <v>12</v>
      </c>
      <c r="D76" s="4">
        <v>45646</v>
      </c>
      <c r="E76" s="5">
        <v>4800</v>
      </c>
      <c r="F76" s="17">
        <v>4</v>
      </c>
    </row>
    <row r="77" spans="1:6" x14ac:dyDescent="0.25">
      <c r="A77" s="16" t="s">
        <v>108</v>
      </c>
      <c r="B77" s="3" t="s">
        <v>27</v>
      </c>
      <c r="C77" s="3" t="s">
        <v>64</v>
      </c>
      <c r="D77" s="4">
        <v>45060</v>
      </c>
      <c r="E77" s="5">
        <v>800</v>
      </c>
      <c r="F77" s="17">
        <v>1</v>
      </c>
    </row>
    <row r="78" spans="1:6" x14ac:dyDescent="0.25">
      <c r="A78" s="16" t="s">
        <v>109</v>
      </c>
      <c r="B78" s="3" t="s">
        <v>14</v>
      </c>
      <c r="C78" s="3" t="s">
        <v>61</v>
      </c>
      <c r="D78" s="4">
        <v>45360</v>
      </c>
      <c r="E78" s="5">
        <v>9600</v>
      </c>
      <c r="F78" s="17">
        <v>8</v>
      </c>
    </row>
    <row r="79" spans="1:6" x14ac:dyDescent="0.25">
      <c r="A79" s="16" t="s">
        <v>110</v>
      </c>
      <c r="B79" s="3" t="s">
        <v>17</v>
      </c>
      <c r="C79" s="3" t="s">
        <v>85</v>
      </c>
      <c r="D79" s="4">
        <v>45210</v>
      </c>
      <c r="E79" s="5">
        <v>30000</v>
      </c>
      <c r="F79" s="17">
        <v>6</v>
      </c>
    </row>
    <row r="80" spans="1:6" x14ac:dyDescent="0.25">
      <c r="A80" s="16" t="s">
        <v>111</v>
      </c>
      <c r="B80" s="3" t="s">
        <v>19</v>
      </c>
      <c r="C80" s="3" t="s">
        <v>12</v>
      </c>
      <c r="D80" s="4">
        <v>45420</v>
      </c>
      <c r="E80" s="5">
        <v>5000</v>
      </c>
      <c r="F80" s="17">
        <v>1</v>
      </c>
    </row>
    <row r="81" spans="1:6" x14ac:dyDescent="0.25">
      <c r="A81" s="16" t="s">
        <v>112</v>
      </c>
      <c r="B81" s="3" t="s">
        <v>14</v>
      </c>
      <c r="C81" s="3" t="s">
        <v>47</v>
      </c>
      <c r="D81" s="4">
        <v>45118</v>
      </c>
      <c r="E81" s="5">
        <v>120000</v>
      </c>
      <c r="F81" s="17">
        <v>6</v>
      </c>
    </row>
    <row r="82" spans="1:6" x14ac:dyDescent="0.25">
      <c r="A82" s="16" t="s">
        <v>113</v>
      </c>
      <c r="B82" s="3" t="s">
        <v>8</v>
      </c>
      <c r="C82" s="3" t="s">
        <v>92</v>
      </c>
      <c r="D82" s="4">
        <v>45299</v>
      </c>
      <c r="E82" s="5">
        <v>45000</v>
      </c>
      <c r="F82" s="17">
        <v>9</v>
      </c>
    </row>
    <row r="83" spans="1:6" x14ac:dyDescent="0.25">
      <c r="A83" s="16" t="s">
        <v>114</v>
      </c>
      <c r="B83" s="3" t="s">
        <v>8</v>
      </c>
      <c r="C83" s="3" t="s">
        <v>85</v>
      </c>
      <c r="D83" s="4">
        <v>45128</v>
      </c>
      <c r="E83" s="5">
        <v>64000</v>
      </c>
      <c r="F83" s="17">
        <v>8</v>
      </c>
    </row>
    <row r="84" spans="1:6" x14ac:dyDescent="0.25">
      <c r="A84" s="16" t="s">
        <v>115</v>
      </c>
      <c r="B84" s="3" t="s">
        <v>22</v>
      </c>
      <c r="C84" s="3" t="s">
        <v>20</v>
      </c>
      <c r="D84" s="4">
        <v>45563</v>
      </c>
      <c r="E84" s="5">
        <v>24000</v>
      </c>
      <c r="F84" s="17">
        <v>2</v>
      </c>
    </row>
    <row r="85" spans="1:6" x14ac:dyDescent="0.25">
      <c r="A85" s="16" t="s">
        <v>116</v>
      </c>
      <c r="B85" s="3" t="s">
        <v>11</v>
      </c>
      <c r="C85" s="3" t="s">
        <v>92</v>
      </c>
      <c r="D85" s="4">
        <v>44977</v>
      </c>
      <c r="E85" s="5">
        <v>40000</v>
      </c>
      <c r="F85" s="17">
        <v>2</v>
      </c>
    </row>
    <row r="86" spans="1:6" x14ac:dyDescent="0.25">
      <c r="A86" s="16" t="s">
        <v>117</v>
      </c>
      <c r="B86" s="3" t="s">
        <v>27</v>
      </c>
      <c r="C86" s="3" t="s">
        <v>15</v>
      </c>
      <c r="D86" s="4">
        <v>45400</v>
      </c>
      <c r="E86" s="5">
        <v>22500</v>
      </c>
      <c r="F86" s="17">
        <v>9</v>
      </c>
    </row>
    <row r="87" spans="1:6" x14ac:dyDescent="0.25">
      <c r="A87" s="16" t="s">
        <v>118</v>
      </c>
      <c r="B87" s="3" t="s">
        <v>17</v>
      </c>
      <c r="C87" s="3" t="s">
        <v>15</v>
      </c>
      <c r="D87" s="4">
        <v>45613</v>
      </c>
      <c r="E87" s="5">
        <v>100000</v>
      </c>
      <c r="F87" s="17">
        <v>5</v>
      </c>
    </row>
    <row r="88" spans="1:6" x14ac:dyDescent="0.25">
      <c r="A88" s="16" t="s">
        <v>119</v>
      </c>
      <c r="B88" s="3" t="s">
        <v>22</v>
      </c>
      <c r="C88" s="3" t="s">
        <v>49</v>
      </c>
      <c r="D88" s="4">
        <v>45227</v>
      </c>
      <c r="E88" s="5">
        <v>180000</v>
      </c>
      <c r="F88" s="17">
        <v>9</v>
      </c>
    </row>
    <row r="89" spans="1:6" x14ac:dyDescent="0.25">
      <c r="A89" s="16" t="s">
        <v>120</v>
      </c>
      <c r="B89" s="3" t="s">
        <v>27</v>
      </c>
      <c r="C89" s="3" t="s">
        <v>45</v>
      </c>
      <c r="D89" s="4">
        <v>45656</v>
      </c>
      <c r="E89" s="5">
        <v>30000</v>
      </c>
      <c r="F89" s="17">
        <v>6</v>
      </c>
    </row>
    <row r="90" spans="1:6" x14ac:dyDescent="0.25">
      <c r="A90" s="16" t="s">
        <v>121</v>
      </c>
      <c r="B90" s="3" t="s">
        <v>22</v>
      </c>
      <c r="C90" s="3" t="s">
        <v>20</v>
      </c>
      <c r="D90" s="4">
        <v>45264</v>
      </c>
      <c r="E90" s="5">
        <v>50000</v>
      </c>
      <c r="F90" s="17">
        <v>10</v>
      </c>
    </row>
    <row r="91" spans="1:6" x14ac:dyDescent="0.25">
      <c r="A91" s="16" t="s">
        <v>122</v>
      </c>
      <c r="B91" s="3" t="s">
        <v>17</v>
      </c>
      <c r="C91" s="3" t="s">
        <v>20</v>
      </c>
      <c r="D91" s="4">
        <v>45281</v>
      </c>
      <c r="E91" s="5">
        <v>8000</v>
      </c>
      <c r="F91" s="17">
        <v>1</v>
      </c>
    </row>
    <row r="92" spans="1:6" x14ac:dyDescent="0.25">
      <c r="A92" s="16" t="s">
        <v>123</v>
      </c>
      <c r="B92" s="3" t="s">
        <v>17</v>
      </c>
      <c r="C92" s="3" t="s">
        <v>25</v>
      </c>
      <c r="D92" s="4">
        <v>44942</v>
      </c>
      <c r="E92" s="5">
        <v>4800</v>
      </c>
      <c r="F92" s="17">
        <v>4</v>
      </c>
    </row>
    <row r="93" spans="1:6" x14ac:dyDescent="0.25">
      <c r="A93" s="16" t="s">
        <v>124</v>
      </c>
      <c r="B93" s="3" t="s">
        <v>19</v>
      </c>
      <c r="C93" s="3" t="s">
        <v>15</v>
      </c>
      <c r="D93" s="4">
        <v>45217</v>
      </c>
      <c r="E93" s="5">
        <v>1200</v>
      </c>
      <c r="F93" s="17">
        <v>1</v>
      </c>
    </row>
    <row r="94" spans="1:6" x14ac:dyDescent="0.25">
      <c r="A94" s="16" t="s">
        <v>125</v>
      </c>
      <c r="B94" s="3" t="s">
        <v>19</v>
      </c>
      <c r="C94" s="3" t="s">
        <v>64</v>
      </c>
      <c r="D94" s="4">
        <v>45029</v>
      </c>
      <c r="E94" s="5">
        <v>3500</v>
      </c>
      <c r="F94" s="17">
        <v>7</v>
      </c>
    </row>
    <row r="95" spans="1:6" x14ac:dyDescent="0.25">
      <c r="A95" s="16" t="s">
        <v>126</v>
      </c>
      <c r="B95" s="3" t="s">
        <v>27</v>
      </c>
      <c r="C95" s="3" t="s">
        <v>20</v>
      </c>
      <c r="D95" s="4">
        <v>45349</v>
      </c>
      <c r="E95" s="5">
        <v>24000</v>
      </c>
      <c r="F95" s="17">
        <v>3</v>
      </c>
    </row>
    <row r="96" spans="1:6" x14ac:dyDescent="0.25">
      <c r="A96" s="16" t="s">
        <v>127</v>
      </c>
      <c r="B96" s="3" t="s">
        <v>19</v>
      </c>
      <c r="C96" s="3" t="s">
        <v>23</v>
      </c>
      <c r="D96" s="4">
        <v>44940</v>
      </c>
      <c r="E96" s="5">
        <v>17500</v>
      </c>
      <c r="F96" s="17">
        <v>7</v>
      </c>
    </row>
    <row r="97" spans="1:6" x14ac:dyDescent="0.25">
      <c r="A97" s="16" t="s">
        <v>128</v>
      </c>
      <c r="B97" s="3" t="s">
        <v>17</v>
      </c>
      <c r="C97" s="3" t="s">
        <v>33</v>
      </c>
      <c r="D97" s="4">
        <v>45054</v>
      </c>
      <c r="E97" s="5">
        <v>64000</v>
      </c>
      <c r="F97" s="17">
        <v>8</v>
      </c>
    </row>
    <row r="98" spans="1:6" x14ac:dyDescent="0.25">
      <c r="A98" s="16" t="s">
        <v>129</v>
      </c>
      <c r="B98" s="3" t="s">
        <v>14</v>
      </c>
      <c r="C98" s="3" t="s">
        <v>85</v>
      </c>
      <c r="D98" s="4">
        <v>44934</v>
      </c>
      <c r="E98" s="5">
        <v>4800</v>
      </c>
      <c r="F98" s="17">
        <v>4</v>
      </c>
    </row>
    <row r="99" spans="1:6" x14ac:dyDescent="0.25">
      <c r="A99" s="16" t="s">
        <v>130</v>
      </c>
      <c r="B99" s="3" t="s">
        <v>14</v>
      </c>
      <c r="C99" s="3" t="s">
        <v>47</v>
      </c>
      <c r="D99" s="4">
        <v>45045</v>
      </c>
      <c r="E99" s="5">
        <v>140000</v>
      </c>
      <c r="F99" s="17">
        <v>7</v>
      </c>
    </row>
    <row r="100" spans="1:6" x14ac:dyDescent="0.25">
      <c r="A100" s="16" t="s">
        <v>131</v>
      </c>
      <c r="B100" s="3" t="s">
        <v>27</v>
      </c>
      <c r="C100" s="3" t="s">
        <v>61</v>
      </c>
      <c r="D100" s="4">
        <v>45390</v>
      </c>
      <c r="E100" s="5">
        <v>6400</v>
      </c>
      <c r="F100" s="17">
        <v>8</v>
      </c>
    </row>
    <row r="101" spans="1:6" x14ac:dyDescent="0.25">
      <c r="A101" s="16" t="s">
        <v>132</v>
      </c>
      <c r="B101" s="3" t="s">
        <v>41</v>
      </c>
      <c r="C101" s="3" t="s">
        <v>23</v>
      </c>
      <c r="D101" s="4">
        <v>45201</v>
      </c>
      <c r="E101" s="5">
        <v>72000</v>
      </c>
      <c r="F101" s="17">
        <v>9</v>
      </c>
    </row>
    <row r="102" spans="1:6" x14ac:dyDescent="0.25">
      <c r="A102" s="16" t="s">
        <v>133</v>
      </c>
      <c r="B102" s="3" t="s">
        <v>17</v>
      </c>
      <c r="C102" s="3" t="s">
        <v>47</v>
      </c>
      <c r="D102" s="4">
        <v>44998</v>
      </c>
      <c r="E102" s="5">
        <v>200000</v>
      </c>
      <c r="F102" s="17">
        <v>10</v>
      </c>
    </row>
    <row r="103" spans="1:6" x14ac:dyDescent="0.25">
      <c r="A103" s="16" t="s">
        <v>134</v>
      </c>
      <c r="B103" s="3" t="s">
        <v>14</v>
      </c>
      <c r="C103" s="3" t="s">
        <v>105</v>
      </c>
      <c r="D103" s="4">
        <v>45207</v>
      </c>
      <c r="E103" s="5">
        <v>45000</v>
      </c>
      <c r="F103" s="17">
        <v>9</v>
      </c>
    </row>
    <row r="104" spans="1:6" x14ac:dyDescent="0.25">
      <c r="A104" s="16" t="s">
        <v>135</v>
      </c>
      <c r="B104" s="3" t="s">
        <v>22</v>
      </c>
      <c r="C104" s="3" t="s">
        <v>35</v>
      </c>
      <c r="D104" s="4">
        <v>45041</v>
      </c>
      <c r="E104" s="5">
        <v>108000</v>
      </c>
      <c r="F104" s="17">
        <v>9</v>
      </c>
    </row>
    <row r="105" spans="1:6" x14ac:dyDescent="0.25">
      <c r="A105" s="16" t="s">
        <v>136</v>
      </c>
      <c r="B105" s="3" t="s">
        <v>8</v>
      </c>
      <c r="C105" s="3" t="s">
        <v>49</v>
      </c>
      <c r="D105" s="4">
        <v>45094</v>
      </c>
      <c r="E105" s="5">
        <v>500</v>
      </c>
      <c r="F105" s="17">
        <v>1</v>
      </c>
    </row>
    <row r="106" spans="1:6" x14ac:dyDescent="0.25">
      <c r="A106" s="16" t="s">
        <v>137</v>
      </c>
      <c r="B106" s="3" t="s">
        <v>22</v>
      </c>
      <c r="C106" s="3" t="s">
        <v>42</v>
      </c>
      <c r="D106" s="4">
        <v>45203</v>
      </c>
      <c r="E106" s="5">
        <v>7200</v>
      </c>
      <c r="F106" s="17">
        <v>6</v>
      </c>
    </row>
    <row r="107" spans="1:6" x14ac:dyDescent="0.25">
      <c r="A107" s="16" t="s">
        <v>138</v>
      </c>
      <c r="B107" s="3" t="s">
        <v>27</v>
      </c>
      <c r="C107" s="3" t="s">
        <v>15</v>
      </c>
      <c r="D107" s="4">
        <v>45161</v>
      </c>
      <c r="E107" s="5">
        <v>4000</v>
      </c>
      <c r="F107" s="17">
        <v>5</v>
      </c>
    </row>
    <row r="108" spans="1:6" x14ac:dyDescent="0.25">
      <c r="A108" s="16" t="s">
        <v>139</v>
      </c>
      <c r="B108" s="3" t="s">
        <v>22</v>
      </c>
      <c r="C108" s="3" t="s">
        <v>64</v>
      </c>
      <c r="D108" s="4">
        <v>45085</v>
      </c>
      <c r="E108" s="5">
        <v>4800</v>
      </c>
      <c r="F108" s="17">
        <v>6</v>
      </c>
    </row>
    <row r="109" spans="1:6" x14ac:dyDescent="0.25">
      <c r="A109" s="16" t="s">
        <v>140</v>
      </c>
      <c r="B109" s="3" t="s">
        <v>17</v>
      </c>
      <c r="C109" s="3" t="s">
        <v>12</v>
      </c>
      <c r="D109" s="4">
        <v>45463</v>
      </c>
      <c r="E109" s="5">
        <v>2400</v>
      </c>
      <c r="F109" s="17">
        <v>3</v>
      </c>
    </row>
    <row r="110" spans="1:6" x14ac:dyDescent="0.25">
      <c r="A110" s="16" t="s">
        <v>141</v>
      </c>
      <c r="B110" s="3" t="s">
        <v>11</v>
      </c>
      <c r="C110" s="3" t="s">
        <v>31</v>
      </c>
      <c r="D110" s="4">
        <v>45295</v>
      </c>
      <c r="E110" s="5">
        <v>120000</v>
      </c>
      <c r="F110" s="17">
        <v>10</v>
      </c>
    </row>
    <row r="111" spans="1:6" x14ac:dyDescent="0.25">
      <c r="A111" s="16" t="s">
        <v>142</v>
      </c>
      <c r="B111" s="3" t="s">
        <v>27</v>
      </c>
      <c r="C111" s="3" t="s">
        <v>61</v>
      </c>
      <c r="D111" s="4">
        <v>45383</v>
      </c>
      <c r="E111" s="5">
        <v>24000</v>
      </c>
      <c r="F111" s="17">
        <v>3</v>
      </c>
    </row>
    <row r="112" spans="1:6" x14ac:dyDescent="0.25">
      <c r="A112" s="16" t="s">
        <v>143</v>
      </c>
      <c r="B112" s="3" t="s">
        <v>22</v>
      </c>
      <c r="C112" s="3" t="s">
        <v>85</v>
      </c>
      <c r="D112" s="4">
        <v>45199</v>
      </c>
      <c r="E112" s="5">
        <v>32000</v>
      </c>
      <c r="F112" s="17">
        <v>4</v>
      </c>
    </row>
    <row r="113" spans="1:6" x14ac:dyDescent="0.25">
      <c r="A113" s="16" t="s">
        <v>144</v>
      </c>
      <c r="B113" s="3" t="s">
        <v>22</v>
      </c>
      <c r="C113" s="3" t="s">
        <v>20</v>
      </c>
      <c r="D113" s="4">
        <v>45376</v>
      </c>
      <c r="E113" s="5">
        <v>32000</v>
      </c>
      <c r="F113" s="17">
        <v>4</v>
      </c>
    </row>
    <row r="114" spans="1:6" x14ac:dyDescent="0.25">
      <c r="A114" s="16" t="s">
        <v>145</v>
      </c>
      <c r="B114" s="3" t="s">
        <v>41</v>
      </c>
      <c r="C114" s="3" t="s">
        <v>85</v>
      </c>
      <c r="D114" s="4">
        <v>44996</v>
      </c>
      <c r="E114" s="5">
        <v>1600</v>
      </c>
      <c r="F114" s="17">
        <v>2</v>
      </c>
    </row>
    <row r="115" spans="1:6" x14ac:dyDescent="0.25">
      <c r="A115" s="16" t="s">
        <v>146</v>
      </c>
      <c r="B115" s="3" t="s">
        <v>22</v>
      </c>
      <c r="C115" s="3" t="s">
        <v>92</v>
      </c>
      <c r="D115" s="4">
        <v>45161</v>
      </c>
      <c r="E115" s="5">
        <v>60000</v>
      </c>
      <c r="F115" s="17">
        <v>3</v>
      </c>
    </row>
    <row r="116" spans="1:6" x14ac:dyDescent="0.25">
      <c r="A116" s="16" t="s">
        <v>147</v>
      </c>
      <c r="B116" s="3" t="s">
        <v>27</v>
      </c>
      <c r="C116" s="3" t="s">
        <v>35</v>
      </c>
      <c r="D116" s="4">
        <v>45142</v>
      </c>
      <c r="E116" s="5">
        <v>96000</v>
      </c>
      <c r="F116" s="17">
        <v>8</v>
      </c>
    </row>
    <row r="117" spans="1:6" x14ac:dyDescent="0.25">
      <c r="A117" s="16" t="s">
        <v>148</v>
      </c>
      <c r="B117" s="3" t="s">
        <v>41</v>
      </c>
      <c r="C117" s="3" t="s">
        <v>29</v>
      </c>
      <c r="D117" s="4">
        <v>45563</v>
      </c>
      <c r="E117" s="5">
        <v>108000</v>
      </c>
      <c r="F117" s="17">
        <v>9</v>
      </c>
    </row>
    <row r="118" spans="1:6" x14ac:dyDescent="0.25">
      <c r="A118" s="16" t="s">
        <v>149</v>
      </c>
      <c r="B118" s="3" t="s">
        <v>11</v>
      </c>
      <c r="C118" s="3" t="s">
        <v>20</v>
      </c>
      <c r="D118" s="4">
        <v>45461</v>
      </c>
      <c r="E118" s="5">
        <v>32000</v>
      </c>
      <c r="F118" s="17">
        <v>4</v>
      </c>
    </row>
    <row r="119" spans="1:6" x14ac:dyDescent="0.25">
      <c r="A119" s="16" t="s">
        <v>150</v>
      </c>
      <c r="B119" s="3" t="s">
        <v>8</v>
      </c>
      <c r="C119" s="3" t="s">
        <v>47</v>
      </c>
      <c r="D119" s="4">
        <v>45127</v>
      </c>
      <c r="E119" s="5">
        <v>1200</v>
      </c>
      <c r="F119" s="17">
        <v>1</v>
      </c>
    </row>
    <row r="120" spans="1:6" x14ac:dyDescent="0.25">
      <c r="A120" s="16" t="s">
        <v>151</v>
      </c>
      <c r="B120" s="3" t="s">
        <v>14</v>
      </c>
      <c r="C120" s="3" t="s">
        <v>35</v>
      </c>
      <c r="D120" s="4">
        <v>45209</v>
      </c>
      <c r="E120" s="5">
        <v>84000</v>
      </c>
      <c r="F120" s="17">
        <v>7</v>
      </c>
    </row>
    <row r="121" spans="1:6" x14ac:dyDescent="0.25">
      <c r="A121" s="16" t="s">
        <v>152</v>
      </c>
      <c r="B121" s="3" t="s">
        <v>8</v>
      </c>
      <c r="C121" s="3" t="s">
        <v>105</v>
      </c>
      <c r="D121" s="4">
        <v>45624</v>
      </c>
      <c r="E121" s="5">
        <v>140000</v>
      </c>
      <c r="F121" s="17">
        <v>7</v>
      </c>
    </row>
    <row r="122" spans="1:6" x14ac:dyDescent="0.25">
      <c r="A122" s="16" t="s">
        <v>153</v>
      </c>
      <c r="B122" s="3" t="s">
        <v>41</v>
      </c>
      <c r="C122" s="3" t="s">
        <v>64</v>
      </c>
      <c r="D122" s="4">
        <v>45512</v>
      </c>
      <c r="E122" s="5">
        <v>45000</v>
      </c>
      <c r="F122" s="17">
        <v>9</v>
      </c>
    </row>
    <row r="123" spans="1:6" x14ac:dyDescent="0.25">
      <c r="A123" s="16" t="s">
        <v>154</v>
      </c>
      <c r="B123" s="3" t="s">
        <v>8</v>
      </c>
      <c r="C123" s="3" t="s">
        <v>25</v>
      </c>
      <c r="D123" s="4">
        <v>45556</v>
      </c>
      <c r="E123" s="5">
        <v>16000</v>
      </c>
      <c r="F123" s="17">
        <v>2</v>
      </c>
    </row>
    <row r="124" spans="1:6" x14ac:dyDescent="0.25">
      <c r="A124" s="16" t="s">
        <v>155</v>
      </c>
      <c r="B124" s="3" t="s">
        <v>17</v>
      </c>
      <c r="C124" s="3" t="s">
        <v>47</v>
      </c>
      <c r="D124" s="4">
        <v>45010</v>
      </c>
      <c r="E124" s="5">
        <v>5000</v>
      </c>
      <c r="F124" s="17">
        <v>2</v>
      </c>
    </row>
    <row r="125" spans="1:6" x14ac:dyDescent="0.25">
      <c r="A125" s="16" t="s">
        <v>156</v>
      </c>
      <c r="B125" s="3" t="s">
        <v>8</v>
      </c>
      <c r="C125" s="3" t="s">
        <v>85</v>
      </c>
      <c r="D125" s="4">
        <v>45055</v>
      </c>
      <c r="E125" s="5">
        <v>24000</v>
      </c>
      <c r="F125" s="17">
        <v>2</v>
      </c>
    </row>
    <row r="126" spans="1:6" x14ac:dyDescent="0.25">
      <c r="A126" s="16" t="s">
        <v>157</v>
      </c>
      <c r="B126" s="3" t="s">
        <v>14</v>
      </c>
      <c r="C126" s="3" t="s">
        <v>85</v>
      </c>
      <c r="D126" s="4">
        <v>45403</v>
      </c>
      <c r="E126" s="5">
        <v>64000</v>
      </c>
      <c r="F126" s="17">
        <v>8</v>
      </c>
    </row>
    <row r="127" spans="1:6" x14ac:dyDescent="0.25">
      <c r="A127" s="16" t="s">
        <v>158</v>
      </c>
      <c r="B127" s="3" t="s">
        <v>17</v>
      </c>
      <c r="C127" s="3" t="s">
        <v>33</v>
      </c>
      <c r="D127" s="4">
        <v>45514</v>
      </c>
      <c r="E127" s="5">
        <v>22500</v>
      </c>
      <c r="F127" s="17">
        <v>9</v>
      </c>
    </row>
    <row r="128" spans="1:6" x14ac:dyDescent="0.25">
      <c r="A128" s="16" t="s">
        <v>159</v>
      </c>
      <c r="B128" s="3" t="s">
        <v>27</v>
      </c>
      <c r="C128" s="3" t="s">
        <v>33</v>
      </c>
      <c r="D128" s="4">
        <v>45104</v>
      </c>
      <c r="E128" s="5">
        <v>3500</v>
      </c>
      <c r="F128" s="17">
        <v>7</v>
      </c>
    </row>
    <row r="129" spans="1:6" x14ac:dyDescent="0.25">
      <c r="A129" s="16" t="s">
        <v>160</v>
      </c>
      <c r="B129" s="3" t="s">
        <v>19</v>
      </c>
      <c r="C129" s="3" t="s">
        <v>15</v>
      </c>
      <c r="D129" s="4">
        <v>45448</v>
      </c>
      <c r="E129" s="5">
        <v>3000</v>
      </c>
      <c r="F129" s="17">
        <v>6</v>
      </c>
    </row>
    <row r="130" spans="1:6" x14ac:dyDescent="0.25">
      <c r="A130" s="16" t="s">
        <v>161</v>
      </c>
      <c r="B130" s="3" t="s">
        <v>8</v>
      </c>
      <c r="C130" s="3" t="s">
        <v>9</v>
      </c>
      <c r="D130" s="4">
        <v>45239</v>
      </c>
      <c r="E130" s="5">
        <v>12500</v>
      </c>
      <c r="F130" s="17">
        <v>5</v>
      </c>
    </row>
    <row r="131" spans="1:6" x14ac:dyDescent="0.25">
      <c r="A131" s="16" t="s">
        <v>162</v>
      </c>
      <c r="B131" s="3" t="s">
        <v>14</v>
      </c>
      <c r="C131" s="3" t="s">
        <v>85</v>
      </c>
      <c r="D131" s="4">
        <v>45151</v>
      </c>
      <c r="E131" s="5">
        <v>4800</v>
      </c>
      <c r="F131" s="17">
        <v>6</v>
      </c>
    </row>
    <row r="132" spans="1:6" x14ac:dyDescent="0.25">
      <c r="A132" s="16" t="s">
        <v>163</v>
      </c>
      <c r="B132" s="3" t="s">
        <v>11</v>
      </c>
      <c r="C132" s="3" t="s">
        <v>25</v>
      </c>
      <c r="D132" s="4">
        <v>45397</v>
      </c>
      <c r="E132" s="5">
        <v>2500</v>
      </c>
      <c r="F132" s="17">
        <v>1</v>
      </c>
    </row>
    <row r="133" spans="1:6" x14ac:dyDescent="0.25">
      <c r="A133" s="16" t="s">
        <v>164</v>
      </c>
      <c r="B133" s="3" t="s">
        <v>27</v>
      </c>
      <c r="C133" s="3" t="s">
        <v>45</v>
      </c>
      <c r="D133" s="4">
        <v>45414</v>
      </c>
      <c r="E133" s="5">
        <v>96000</v>
      </c>
      <c r="F133" s="17">
        <v>8</v>
      </c>
    </row>
    <row r="134" spans="1:6" x14ac:dyDescent="0.25">
      <c r="A134" s="16" t="s">
        <v>165</v>
      </c>
      <c r="B134" s="3" t="s">
        <v>41</v>
      </c>
      <c r="C134" s="3" t="s">
        <v>20</v>
      </c>
      <c r="D134" s="4">
        <v>45453</v>
      </c>
      <c r="E134" s="5">
        <v>96000</v>
      </c>
      <c r="F134" s="17">
        <v>8</v>
      </c>
    </row>
    <row r="135" spans="1:6" x14ac:dyDescent="0.25">
      <c r="A135" s="16" t="s">
        <v>166</v>
      </c>
      <c r="B135" s="3" t="s">
        <v>11</v>
      </c>
      <c r="C135" s="3" t="s">
        <v>15</v>
      </c>
      <c r="D135" s="4">
        <v>45233</v>
      </c>
      <c r="E135" s="5">
        <v>4800</v>
      </c>
      <c r="F135" s="17">
        <v>6</v>
      </c>
    </row>
    <row r="136" spans="1:6" x14ac:dyDescent="0.25">
      <c r="A136" s="16" t="s">
        <v>167</v>
      </c>
      <c r="B136" s="3" t="s">
        <v>27</v>
      </c>
      <c r="C136" s="3" t="s">
        <v>92</v>
      </c>
      <c r="D136" s="4">
        <v>45083</v>
      </c>
      <c r="E136" s="5">
        <v>4500</v>
      </c>
      <c r="F136" s="17">
        <v>9</v>
      </c>
    </row>
    <row r="137" spans="1:6" x14ac:dyDescent="0.25">
      <c r="A137" s="16" t="s">
        <v>168</v>
      </c>
      <c r="B137" s="3" t="s">
        <v>19</v>
      </c>
      <c r="C137" s="3" t="s">
        <v>49</v>
      </c>
      <c r="D137" s="4">
        <v>45533</v>
      </c>
      <c r="E137" s="5">
        <v>3600</v>
      </c>
      <c r="F137" s="17">
        <v>3</v>
      </c>
    </row>
    <row r="138" spans="1:6" x14ac:dyDescent="0.25">
      <c r="A138" s="16" t="s">
        <v>169</v>
      </c>
      <c r="B138" s="3" t="s">
        <v>11</v>
      </c>
      <c r="C138" s="3" t="s">
        <v>105</v>
      </c>
      <c r="D138" s="4">
        <v>45012</v>
      </c>
      <c r="E138" s="5">
        <v>24000</v>
      </c>
      <c r="F138" s="17">
        <v>3</v>
      </c>
    </row>
    <row r="139" spans="1:6" x14ac:dyDescent="0.25">
      <c r="A139" s="16" t="s">
        <v>170</v>
      </c>
      <c r="B139" s="3" t="s">
        <v>17</v>
      </c>
      <c r="C139" s="3" t="s">
        <v>25</v>
      </c>
      <c r="D139" s="4">
        <v>45245</v>
      </c>
      <c r="E139" s="5">
        <v>9600</v>
      </c>
      <c r="F139" s="17">
        <v>8</v>
      </c>
    </row>
    <row r="140" spans="1:6" x14ac:dyDescent="0.25">
      <c r="A140" s="16" t="s">
        <v>171</v>
      </c>
      <c r="B140" s="3" t="s">
        <v>27</v>
      </c>
      <c r="C140" s="3" t="s">
        <v>105</v>
      </c>
      <c r="D140" s="4">
        <v>45378</v>
      </c>
      <c r="E140" s="5">
        <v>6400</v>
      </c>
      <c r="F140" s="17">
        <v>8</v>
      </c>
    </row>
    <row r="141" spans="1:6" x14ac:dyDescent="0.25">
      <c r="A141" s="16" t="s">
        <v>172</v>
      </c>
      <c r="B141" s="3" t="s">
        <v>22</v>
      </c>
      <c r="C141" s="3" t="s">
        <v>61</v>
      </c>
      <c r="D141" s="4">
        <v>45453</v>
      </c>
      <c r="E141" s="5">
        <v>35000</v>
      </c>
      <c r="F141" s="17">
        <v>7</v>
      </c>
    </row>
    <row r="142" spans="1:6" x14ac:dyDescent="0.25">
      <c r="A142" s="16" t="s">
        <v>173</v>
      </c>
      <c r="B142" s="3" t="s">
        <v>27</v>
      </c>
      <c r="C142" s="3" t="s">
        <v>61</v>
      </c>
      <c r="D142" s="4">
        <v>45099</v>
      </c>
      <c r="E142" s="5">
        <v>2400</v>
      </c>
      <c r="F142" s="17">
        <v>2</v>
      </c>
    </row>
    <row r="143" spans="1:6" x14ac:dyDescent="0.25">
      <c r="A143" s="16" t="s">
        <v>174</v>
      </c>
      <c r="B143" s="3" t="s">
        <v>27</v>
      </c>
      <c r="C143" s="3" t="s">
        <v>92</v>
      </c>
      <c r="D143" s="4">
        <v>45576</v>
      </c>
      <c r="E143" s="5">
        <v>2400</v>
      </c>
      <c r="F143" s="17">
        <v>3</v>
      </c>
    </row>
    <row r="144" spans="1:6" x14ac:dyDescent="0.25">
      <c r="A144" s="16" t="s">
        <v>175</v>
      </c>
      <c r="B144" s="3" t="s">
        <v>17</v>
      </c>
      <c r="C144" s="3" t="s">
        <v>31</v>
      </c>
      <c r="D144" s="4">
        <v>45031</v>
      </c>
      <c r="E144" s="5">
        <v>5000</v>
      </c>
      <c r="F144" s="17">
        <v>2</v>
      </c>
    </row>
    <row r="145" spans="1:6" x14ac:dyDescent="0.25">
      <c r="A145" s="16" t="s">
        <v>176</v>
      </c>
      <c r="B145" s="3" t="s">
        <v>19</v>
      </c>
      <c r="C145" s="3" t="s">
        <v>49</v>
      </c>
      <c r="D145" s="4">
        <v>45536</v>
      </c>
      <c r="E145" s="5">
        <v>20000</v>
      </c>
      <c r="F145" s="17">
        <v>8</v>
      </c>
    </row>
    <row r="146" spans="1:6" x14ac:dyDescent="0.25">
      <c r="A146" s="16" t="s">
        <v>177</v>
      </c>
      <c r="B146" s="3" t="s">
        <v>11</v>
      </c>
      <c r="C146" s="3" t="s">
        <v>23</v>
      </c>
      <c r="D146" s="4">
        <v>44938</v>
      </c>
      <c r="E146" s="5">
        <v>35000</v>
      </c>
      <c r="F146" s="17">
        <v>7</v>
      </c>
    </row>
    <row r="147" spans="1:6" x14ac:dyDescent="0.25">
      <c r="A147" s="16" t="s">
        <v>178</v>
      </c>
      <c r="B147" s="3" t="s">
        <v>41</v>
      </c>
      <c r="C147" s="3" t="s">
        <v>15</v>
      </c>
      <c r="D147" s="4">
        <v>44956</v>
      </c>
      <c r="E147" s="5">
        <v>64000</v>
      </c>
      <c r="F147" s="17">
        <v>8</v>
      </c>
    </row>
    <row r="148" spans="1:6" x14ac:dyDescent="0.25">
      <c r="A148" s="16" t="s">
        <v>179</v>
      </c>
      <c r="B148" s="3" t="s">
        <v>14</v>
      </c>
      <c r="C148" s="3" t="s">
        <v>12</v>
      </c>
      <c r="D148" s="4">
        <v>45252</v>
      </c>
      <c r="E148" s="5">
        <v>80000</v>
      </c>
      <c r="F148" s="17">
        <v>4</v>
      </c>
    </row>
    <row r="149" spans="1:6" x14ac:dyDescent="0.25">
      <c r="A149" s="16" t="s">
        <v>180</v>
      </c>
      <c r="B149" s="3" t="s">
        <v>41</v>
      </c>
      <c r="C149" s="3" t="s">
        <v>45</v>
      </c>
      <c r="D149" s="4">
        <v>45079</v>
      </c>
      <c r="E149" s="5">
        <v>2400</v>
      </c>
      <c r="F149" s="17">
        <v>2</v>
      </c>
    </row>
    <row r="150" spans="1:6" x14ac:dyDescent="0.25">
      <c r="A150" s="16" t="s">
        <v>181</v>
      </c>
      <c r="B150" s="3" t="s">
        <v>27</v>
      </c>
      <c r="C150" s="3" t="s">
        <v>33</v>
      </c>
      <c r="D150" s="4">
        <v>45616</v>
      </c>
      <c r="E150" s="5">
        <v>15000</v>
      </c>
      <c r="F150" s="17">
        <v>6</v>
      </c>
    </row>
    <row r="151" spans="1:6" x14ac:dyDescent="0.25">
      <c r="A151" s="16" t="s">
        <v>182</v>
      </c>
      <c r="B151" s="3" t="s">
        <v>8</v>
      </c>
      <c r="C151" s="3" t="s">
        <v>23</v>
      </c>
      <c r="D151" s="4">
        <v>45334</v>
      </c>
      <c r="E151" s="5">
        <v>4800</v>
      </c>
      <c r="F151" s="17">
        <v>4</v>
      </c>
    </row>
    <row r="152" spans="1:6" x14ac:dyDescent="0.25">
      <c r="A152" s="16" t="s">
        <v>183</v>
      </c>
      <c r="B152" s="3" t="s">
        <v>41</v>
      </c>
      <c r="C152" s="3" t="s">
        <v>39</v>
      </c>
      <c r="D152" s="4">
        <v>45321</v>
      </c>
      <c r="E152" s="5">
        <v>2000</v>
      </c>
      <c r="F152" s="17">
        <v>4</v>
      </c>
    </row>
    <row r="153" spans="1:6" x14ac:dyDescent="0.25">
      <c r="A153" s="16" t="s">
        <v>184</v>
      </c>
      <c r="B153" s="3" t="s">
        <v>41</v>
      </c>
      <c r="C153" s="3" t="s">
        <v>9</v>
      </c>
      <c r="D153" s="4">
        <v>45234</v>
      </c>
      <c r="E153" s="5">
        <v>25000</v>
      </c>
      <c r="F153" s="17">
        <v>10</v>
      </c>
    </row>
    <row r="154" spans="1:6" x14ac:dyDescent="0.25">
      <c r="A154" s="16" t="s">
        <v>185</v>
      </c>
      <c r="B154" s="3" t="s">
        <v>17</v>
      </c>
      <c r="C154" s="3" t="s">
        <v>29</v>
      </c>
      <c r="D154" s="4">
        <v>45435</v>
      </c>
      <c r="E154" s="5">
        <v>2000</v>
      </c>
      <c r="F154" s="17">
        <v>4</v>
      </c>
    </row>
    <row r="155" spans="1:6" x14ac:dyDescent="0.25">
      <c r="A155" s="16" t="s">
        <v>186</v>
      </c>
      <c r="B155" s="3" t="s">
        <v>22</v>
      </c>
      <c r="C155" s="3" t="s">
        <v>64</v>
      </c>
      <c r="D155" s="4">
        <v>45588</v>
      </c>
      <c r="E155" s="5">
        <v>32000</v>
      </c>
      <c r="F155" s="17">
        <v>4</v>
      </c>
    </row>
    <row r="156" spans="1:6" x14ac:dyDescent="0.25">
      <c r="A156" s="16" t="s">
        <v>187</v>
      </c>
      <c r="B156" s="3" t="s">
        <v>27</v>
      </c>
      <c r="C156" s="3" t="s">
        <v>31</v>
      </c>
      <c r="D156" s="4">
        <v>45384</v>
      </c>
      <c r="E156" s="5">
        <v>25000</v>
      </c>
      <c r="F156" s="17">
        <v>10</v>
      </c>
    </row>
    <row r="157" spans="1:6" x14ac:dyDescent="0.25">
      <c r="A157" s="16" t="s">
        <v>188</v>
      </c>
      <c r="B157" s="3" t="s">
        <v>27</v>
      </c>
      <c r="C157" s="3" t="s">
        <v>47</v>
      </c>
      <c r="D157" s="4">
        <v>45013</v>
      </c>
      <c r="E157" s="5">
        <v>100000</v>
      </c>
      <c r="F157" s="17">
        <v>5</v>
      </c>
    </row>
    <row r="158" spans="1:6" x14ac:dyDescent="0.25">
      <c r="A158" s="16" t="s">
        <v>189</v>
      </c>
      <c r="B158" s="3" t="s">
        <v>8</v>
      </c>
      <c r="C158" s="3" t="s">
        <v>15</v>
      </c>
      <c r="D158" s="4">
        <v>45455</v>
      </c>
      <c r="E158" s="5">
        <v>3000</v>
      </c>
      <c r="F158" s="17">
        <v>6</v>
      </c>
    </row>
    <row r="159" spans="1:6" x14ac:dyDescent="0.25">
      <c r="A159" s="16" t="s">
        <v>190</v>
      </c>
      <c r="B159" s="3" t="s">
        <v>22</v>
      </c>
      <c r="C159" s="3" t="s">
        <v>85</v>
      </c>
      <c r="D159" s="4">
        <v>45499</v>
      </c>
      <c r="E159" s="5">
        <v>56000</v>
      </c>
      <c r="F159" s="17">
        <v>7</v>
      </c>
    </row>
    <row r="160" spans="1:6" x14ac:dyDescent="0.25">
      <c r="A160" s="16" t="s">
        <v>191</v>
      </c>
      <c r="B160" s="3" t="s">
        <v>14</v>
      </c>
      <c r="C160" s="3" t="s">
        <v>92</v>
      </c>
      <c r="D160" s="4">
        <v>45373</v>
      </c>
      <c r="E160" s="5">
        <v>2400</v>
      </c>
      <c r="F160" s="17">
        <v>2</v>
      </c>
    </row>
    <row r="161" spans="1:6" x14ac:dyDescent="0.25">
      <c r="A161" s="16" t="s">
        <v>192</v>
      </c>
      <c r="B161" s="3" t="s">
        <v>11</v>
      </c>
      <c r="C161" s="3" t="s">
        <v>20</v>
      </c>
      <c r="D161" s="4">
        <v>45248</v>
      </c>
      <c r="E161" s="5">
        <v>8000</v>
      </c>
      <c r="F161" s="17">
        <v>10</v>
      </c>
    </row>
    <row r="162" spans="1:6" x14ac:dyDescent="0.25">
      <c r="A162" s="16" t="s">
        <v>193</v>
      </c>
      <c r="B162" s="3" t="s">
        <v>17</v>
      </c>
      <c r="C162" s="3" t="s">
        <v>47</v>
      </c>
      <c r="D162" s="4">
        <v>45498</v>
      </c>
      <c r="E162" s="5">
        <v>2000</v>
      </c>
      <c r="F162" s="17">
        <v>4</v>
      </c>
    </row>
    <row r="163" spans="1:6" x14ac:dyDescent="0.25">
      <c r="A163" s="16" t="s">
        <v>194</v>
      </c>
      <c r="B163" s="3" t="s">
        <v>8</v>
      </c>
      <c r="C163" s="3" t="s">
        <v>105</v>
      </c>
      <c r="D163" s="4">
        <v>45316</v>
      </c>
      <c r="E163" s="5">
        <v>7200</v>
      </c>
      <c r="F163" s="17">
        <v>6</v>
      </c>
    </row>
    <row r="164" spans="1:6" x14ac:dyDescent="0.25">
      <c r="A164" s="16" t="s">
        <v>195</v>
      </c>
      <c r="B164" s="3" t="s">
        <v>14</v>
      </c>
      <c r="C164" s="3" t="s">
        <v>39</v>
      </c>
      <c r="D164" s="4">
        <v>44989</v>
      </c>
      <c r="E164" s="5">
        <v>4800</v>
      </c>
      <c r="F164" s="17">
        <v>6</v>
      </c>
    </row>
    <row r="165" spans="1:6" x14ac:dyDescent="0.25">
      <c r="A165" s="16" t="s">
        <v>196</v>
      </c>
      <c r="B165" s="3" t="s">
        <v>27</v>
      </c>
      <c r="C165" s="3" t="s">
        <v>64</v>
      </c>
      <c r="D165" s="4">
        <v>45156</v>
      </c>
      <c r="E165" s="5">
        <v>15000</v>
      </c>
      <c r="F165" s="17">
        <v>3</v>
      </c>
    </row>
    <row r="166" spans="1:6" x14ac:dyDescent="0.25">
      <c r="A166" s="16" t="s">
        <v>197</v>
      </c>
      <c r="B166" s="3" t="s">
        <v>19</v>
      </c>
      <c r="C166" s="3" t="s">
        <v>23</v>
      </c>
      <c r="D166" s="4">
        <v>44934</v>
      </c>
      <c r="E166" s="5">
        <v>84000</v>
      </c>
      <c r="F166" s="17">
        <v>7</v>
      </c>
    </row>
    <row r="167" spans="1:6" x14ac:dyDescent="0.25">
      <c r="A167" s="16" t="s">
        <v>198</v>
      </c>
      <c r="B167" s="3" t="s">
        <v>22</v>
      </c>
      <c r="C167" s="3" t="s">
        <v>31</v>
      </c>
      <c r="D167" s="4">
        <v>45293</v>
      </c>
      <c r="E167" s="5">
        <v>2500</v>
      </c>
      <c r="F167" s="17">
        <v>5</v>
      </c>
    </row>
    <row r="168" spans="1:6" x14ac:dyDescent="0.25">
      <c r="A168" s="16" t="s">
        <v>199</v>
      </c>
      <c r="B168" s="3" t="s">
        <v>22</v>
      </c>
      <c r="C168" s="3" t="s">
        <v>49</v>
      </c>
      <c r="D168" s="4">
        <v>45429</v>
      </c>
      <c r="E168" s="5">
        <v>22500</v>
      </c>
      <c r="F168" s="17">
        <v>9</v>
      </c>
    </row>
    <row r="169" spans="1:6" x14ac:dyDescent="0.25">
      <c r="A169" s="16" t="s">
        <v>200</v>
      </c>
      <c r="B169" s="3" t="s">
        <v>27</v>
      </c>
      <c r="C169" s="3" t="s">
        <v>15</v>
      </c>
      <c r="D169" s="4">
        <v>45554</v>
      </c>
      <c r="E169" s="5">
        <v>9600</v>
      </c>
      <c r="F169" s="17">
        <v>8</v>
      </c>
    </row>
    <row r="170" spans="1:6" x14ac:dyDescent="0.25">
      <c r="A170" s="16" t="s">
        <v>201</v>
      </c>
      <c r="B170" s="3" t="s">
        <v>22</v>
      </c>
      <c r="C170" s="3" t="s">
        <v>92</v>
      </c>
      <c r="D170" s="4">
        <v>45520</v>
      </c>
      <c r="E170" s="5">
        <v>1000</v>
      </c>
      <c r="F170" s="17">
        <v>2</v>
      </c>
    </row>
    <row r="171" spans="1:6" x14ac:dyDescent="0.25">
      <c r="A171" s="16" t="s">
        <v>202</v>
      </c>
      <c r="B171" s="3" t="s">
        <v>19</v>
      </c>
      <c r="C171" s="3" t="s">
        <v>61</v>
      </c>
      <c r="D171" s="4">
        <v>45043</v>
      </c>
      <c r="E171" s="5">
        <v>50000</v>
      </c>
      <c r="F171" s="17">
        <v>10</v>
      </c>
    </row>
    <row r="172" spans="1:6" x14ac:dyDescent="0.25">
      <c r="A172" s="16" t="s">
        <v>203</v>
      </c>
      <c r="B172" s="3" t="s">
        <v>14</v>
      </c>
      <c r="C172" s="3" t="s">
        <v>33</v>
      </c>
      <c r="D172" s="4">
        <v>45222</v>
      </c>
      <c r="E172" s="5">
        <v>5000</v>
      </c>
      <c r="F172" s="17">
        <v>10</v>
      </c>
    </row>
    <row r="173" spans="1:6" x14ac:dyDescent="0.25">
      <c r="A173" s="16" t="s">
        <v>204</v>
      </c>
      <c r="B173" s="3" t="s">
        <v>22</v>
      </c>
      <c r="C173" s="3" t="s">
        <v>12</v>
      </c>
      <c r="D173" s="4">
        <v>45441</v>
      </c>
      <c r="E173" s="5">
        <v>5000</v>
      </c>
      <c r="F173" s="17">
        <v>2</v>
      </c>
    </row>
    <row r="174" spans="1:6" x14ac:dyDescent="0.25">
      <c r="A174" s="16" t="s">
        <v>205</v>
      </c>
      <c r="B174" s="3" t="s">
        <v>14</v>
      </c>
      <c r="C174" s="3" t="s">
        <v>92</v>
      </c>
      <c r="D174" s="4">
        <v>45511</v>
      </c>
      <c r="E174" s="5">
        <v>800</v>
      </c>
      <c r="F174" s="17">
        <v>1</v>
      </c>
    </row>
    <row r="175" spans="1:6" x14ac:dyDescent="0.25">
      <c r="A175" s="16" t="s">
        <v>206</v>
      </c>
      <c r="B175" s="3" t="s">
        <v>41</v>
      </c>
      <c r="C175" s="3" t="s">
        <v>42</v>
      </c>
      <c r="D175" s="4">
        <v>45278</v>
      </c>
      <c r="E175" s="5">
        <v>12000</v>
      </c>
      <c r="F175" s="17">
        <v>1</v>
      </c>
    </row>
    <row r="176" spans="1:6" x14ac:dyDescent="0.25">
      <c r="A176" s="16" t="s">
        <v>207</v>
      </c>
      <c r="B176" s="3" t="s">
        <v>41</v>
      </c>
      <c r="C176" s="3" t="s">
        <v>42</v>
      </c>
      <c r="D176" s="4">
        <v>45188</v>
      </c>
      <c r="E176" s="5">
        <v>120000</v>
      </c>
      <c r="F176" s="17">
        <v>10</v>
      </c>
    </row>
    <row r="177" spans="1:6" x14ac:dyDescent="0.25">
      <c r="A177" s="16" t="s">
        <v>208</v>
      </c>
      <c r="B177" s="3" t="s">
        <v>22</v>
      </c>
      <c r="C177" s="3" t="s">
        <v>47</v>
      </c>
      <c r="D177" s="4">
        <v>45443</v>
      </c>
      <c r="E177" s="5">
        <v>160000</v>
      </c>
      <c r="F177" s="17">
        <v>8</v>
      </c>
    </row>
    <row r="178" spans="1:6" x14ac:dyDescent="0.25">
      <c r="A178" s="16" t="s">
        <v>209</v>
      </c>
      <c r="B178" s="3" t="s">
        <v>14</v>
      </c>
      <c r="C178" s="3" t="s">
        <v>105</v>
      </c>
      <c r="D178" s="4">
        <v>45039</v>
      </c>
      <c r="E178" s="5">
        <v>10800</v>
      </c>
      <c r="F178" s="17">
        <v>9</v>
      </c>
    </row>
    <row r="179" spans="1:6" x14ac:dyDescent="0.25">
      <c r="A179" s="16" t="s">
        <v>210</v>
      </c>
      <c r="B179" s="3" t="s">
        <v>14</v>
      </c>
      <c r="C179" s="3" t="s">
        <v>39</v>
      </c>
      <c r="D179" s="4">
        <v>45120</v>
      </c>
      <c r="E179" s="5">
        <v>9600</v>
      </c>
      <c r="F179" s="17">
        <v>8</v>
      </c>
    </row>
    <row r="180" spans="1:6" x14ac:dyDescent="0.25">
      <c r="A180" s="16" t="s">
        <v>211</v>
      </c>
      <c r="B180" s="3" t="s">
        <v>27</v>
      </c>
      <c r="C180" s="3" t="s">
        <v>61</v>
      </c>
      <c r="D180" s="4">
        <v>45133</v>
      </c>
      <c r="E180" s="5">
        <v>25000</v>
      </c>
      <c r="F180" s="17">
        <v>5</v>
      </c>
    </row>
    <row r="181" spans="1:6" x14ac:dyDescent="0.25">
      <c r="A181" s="16" t="s">
        <v>212</v>
      </c>
      <c r="B181" s="3" t="s">
        <v>22</v>
      </c>
      <c r="C181" s="3" t="s">
        <v>85</v>
      </c>
      <c r="D181" s="4">
        <v>45330</v>
      </c>
      <c r="E181" s="5">
        <v>3000</v>
      </c>
      <c r="F181" s="17">
        <v>6</v>
      </c>
    </row>
    <row r="182" spans="1:6" x14ac:dyDescent="0.25">
      <c r="A182" s="16" t="s">
        <v>213</v>
      </c>
      <c r="B182" s="3" t="s">
        <v>19</v>
      </c>
      <c r="C182" s="3" t="s">
        <v>61</v>
      </c>
      <c r="D182" s="4">
        <v>45504</v>
      </c>
      <c r="E182" s="5">
        <v>5000</v>
      </c>
      <c r="F182" s="17">
        <v>1</v>
      </c>
    </row>
    <row r="183" spans="1:6" x14ac:dyDescent="0.25">
      <c r="A183" s="16" t="s">
        <v>214</v>
      </c>
      <c r="B183" s="3" t="s">
        <v>8</v>
      </c>
      <c r="C183" s="3" t="s">
        <v>23</v>
      </c>
      <c r="D183" s="4">
        <v>45258</v>
      </c>
      <c r="E183" s="5">
        <v>80000</v>
      </c>
      <c r="F183" s="17">
        <v>4</v>
      </c>
    </row>
    <row r="184" spans="1:6" x14ac:dyDescent="0.25">
      <c r="A184" s="16" t="s">
        <v>215</v>
      </c>
      <c r="B184" s="3" t="s">
        <v>8</v>
      </c>
      <c r="C184" s="3" t="s">
        <v>45</v>
      </c>
      <c r="D184" s="4">
        <v>44958</v>
      </c>
      <c r="E184" s="5">
        <v>22500</v>
      </c>
      <c r="F184" s="17">
        <v>9</v>
      </c>
    </row>
    <row r="185" spans="1:6" x14ac:dyDescent="0.25">
      <c r="A185" s="16" t="s">
        <v>216</v>
      </c>
      <c r="B185" s="3" t="s">
        <v>14</v>
      </c>
      <c r="C185" s="3" t="s">
        <v>64</v>
      </c>
      <c r="D185" s="4">
        <v>45556</v>
      </c>
      <c r="E185" s="5">
        <v>80000</v>
      </c>
      <c r="F185" s="17">
        <v>4</v>
      </c>
    </row>
    <row r="186" spans="1:6" x14ac:dyDescent="0.25">
      <c r="A186" s="16" t="s">
        <v>217</v>
      </c>
      <c r="B186" s="3" t="s">
        <v>27</v>
      </c>
      <c r="C186" s="3" t="s">
        <v>47</v>
      </c>
      <c r="D186" s="4">
        <v>45140</v>
      </c>
      <c r="E186" s="5">
        <v>500</v>
      </c>
      <c r="F186" s="17">
        <v>1</v>
      </c>
    </row>
    <row r="187" spans="1:6" x14ac:dyDescent="0.25">
      <c r="A187" s="16" t="s">
        <v>218</v>
      </c>
      <c r="B187" s="3" t="s">
        <v>14</v>
      </c>
      <c r="C187" s="3" t="s">
        <v>33</v>
      </c>
      <c r="D187" s="4">
        <v>45033</v>
      </c>
      <c r="E187" s="5">
        <v>500</v>
      </c>
      <c r="F187" s="17">
        <v>1</v>
      </c>
    </row>
    <row r="188" spans="1:6" x14ac:dyDescent="0.25">
      <c r="A188" s="16" t="s">
        <v>219</v>
      </c>
      <c r="B188" s="3" t="s">
        <v>27</v>
      </c>
      <c r="C188" s="3" t="s">
        <v>39</v>
      </c>
      <c r="D188" s="4">
        <v>45371</v>
      </c>
      <c r="E188" s="5">
        <v>60000</v>
      </c>
      <c r="F188" s="17">
        <v>5</v>
      </c>
    </row>
    <row r="189" spans="1:6" x14ac:dyDescent="0.25">
      <c r="A189" s="16" t="s">
        <v>220</v>
      </c>
      <c r="B189" s="3" t="s">
        <v>19</v>
      </c>
      <c r="C189" s="3" t="s">
        <v>29</v>
      </c>
      <c r="D189" s="4">
        <v>45541</v>
      </c>
      <c r="E189" s="5">
        <v>2500</v>
      </c>
      <c r="F189" s="17">
        <v>5</v>
      </c>
    </row>
    <row r="190" spans="1:6" x14ac:dyDescent="0.25">
      <c r="A190" s="16" t="s">
        <v>221</v>
      </c>
      <c r="B190" s="3" t="s">
        <v>19</v>
      </c>
      <c r="C190" s="3" t="s">
        <v>61</v>
      </c>
      <c r="D190" s="4">
        <v>45634</v>
      </c>
      <c r="E190" s="5">
        <v>60000</v>
      </c>
      <c r="F190" s="17">
        <v>3</v>
      </c>
    </row>
    <row r="191" spans="1:6" x14ac:dyDescent="0.25">
      <c r="A191" s="16" t="s">
        <v>222</v>
      </c>
      <c r="B191" s="3" t="s">
        <v>41</v>
      </c>
      <c r="C191" s="3" t="s">
        <v>47</v>
      </c>
      <c r="D191" s="4">
        <v>45288</v>
      </c>
      <c r="E191" s="5">
        <v>17500</v>
      </c>
      <c r="F191" s="17">
        <v>7</v>
      </c>
    </row>
    <row r="192" spans="1:6" x14ac:dyDescent="0.25">
      <c r="A192" s="16" t="s">
        <v>223</v>
      </c>
      <c r="B192" s="3" t="s">
        <v>22</v>
      </c>
      <c r="C192" s="3" t="s">
        <v>105</v>
      </c>
      <c r="D192" s="4">
        <v>45118</v>
      </c>
      <c r="E192" s="5">
        <v>4800</v>
      </c>
      <c r="F192" s="17">
        <v>6</v>
      </c>
    </row>
    <row r="193" spans="1:6" x14ac:dyDescent="0.25">
      <c r="A193" s="16" t="s">
        <v>224</v>
      </c>
      <c r="B193" s="3" t="s">
        <v>17</v>
      </c>
      <c r="C193" s="3" t="s">
        <v>29</v>
      </c>
      <c r="D193" s="4">
        <v>45262</v>
      </c>
      <c r="E193" s="5">
        <v>60000</v>
      </c>
      <c r="F193" s="17">
        <v>5</v>
      </c>
    </row>
    <row r="194" spans="1:6" x14ac:dyDescent="0.25">
      <c r="A194" s="16" t="s">
        <v>225</v>
      </c>
      <c r="B194" s="3" t="s">
        <v>41</v>
      </c>
      <c r="C194" s="3" t="s">
        <v>45</v>
      </c>
      <c r="D194" s="4">
        <v>45581</v>
      </c>
      <c r="E194" s="5">
        <v>6400</v>
      </c>
      <c r="F194" s="17">
        <v>8</v>
      </c>
    </row>
    <row r="195" spans="1:6" x14ac:dyDescent="0.25">
      <c r="A195" s="16" t="s">
        <v>226</v>
      </c>
      <c r="B195" s="3" t="s">
        <v>14</v>
      </c>
      <c r="C195" s="3" t="s">
        <v>47</v>
      </c>
      <c r="D195" s="4">
        <v>45286</v>
      </c>
      <c r="E195" s="5">
        <v>10000</v>
      </c>
      <c r="F195" s="17">
        <v>2</v>
      </c>
    </row>
    <row r="196" spans="1:6" x14ac:dyDescent="0.25">
      <c r="A196" s="16" t="s">
        <v>227</v>
      </c>
      <c r="B196" s="3" t="s">
        <v>19</v>
      </c>
      <c r="C196" s="3" t="s">
        <v>23</v>
      </c>
      <c r="D196" s="4">
        <v>45612</v>
      </c>
      <c r="E196" s="5">
        <v>3500</v>
      </c>
      <c r="F196" s="17">
        <v>7</v>
      </c>
    </row>
    <row r="197" spans="1:6" x14ac:dyDescent="0.25">
      <c r="A197" s="16" t="s">
        <v>228</v>
      </c>
      <c r="B197" s="3" t="s">
        <v>22</v>
      </c>
      <c r="C197" s="3" t="s">
        <v>85</v>
      </c>
      <c r="D197" s="4">
        <v>45015</v>
      </c>
      <c r="E197" s="5">
        <v>80000</v>
      </c>
      <c r="F197" s="17">
        <v>10</v>
      </c>
    </row>
    <row r="198" spans="1:6" x14ac:dyDescent="0.25">
      <c r="A198" s="16" t="s">
        <v>229</v>
      </c>
      <c r="B198" s="3" t="s">
        <v>27</v>
      </c>
      <c r="C198" s="3" t="s">
        <v>31</v>
      </c>
      <c r="D198" s="4">
        <v>45418</v>
      </c>
      <c r="E198" s="5">
        <v>1600</v>
      </c>
      <c r="F198" s="17">
        <v>2</v>
      </c>
    </row>
    <row r="199" spans="1:6" x14ac:dyDescent="0.25">
      <c r="A199" s="16" t="s">
        <v>230</v>
      </c>
      <c r="B199" s="3" t="s">
        <v>22</v>
      </c>
      <c r="C199" s="3" t="s">
        <v>23</v>
      </c>
      <c r="D199" s="4">
        <v>45021</v>
      </c>
      <c r="E199" s="5">
        <v>15000</v>
      </c>
      <c r="F199" s="17">
        <v>6</v>
      </c>
    </row>
    <row r="200" spans="1:6" x14ac:dyDescent="0.25">
      <c r="A200" s="16" t="s">
        <v>231</v>
      </c>
      <c r="B200" s="3" t="s">
        <v>22</v>
      </c>
      <c r="C200" s="3" t="s">
        <v>31</v>
      </c>
      <c r="D200" s="4">
        <v>45032</v>
      </c>
      <c r="E200" s="5">
        <v>1600</v>
      </c>
      <c r="F200" s="17">
        <v>2</v>
      </c>
    </row>
    <row r="201" spans="1:6" x14ac:dyDescent="0.25">
      <c r="A201" s="16" t="s">
        <v>232</v>
      </c>
      <c r="B201" s="3" t="s">
        <v>17</v>
      </c>
      <c r="C201" s="3" t="s">
        <v>31</v>
      </c>
      <c r="D201" s="4">
        <v>45036</v>
      </c>
      <c r="E201" s="5">
        <v>5000</v>
      </c>
      <c r="F201" s="17">
        <v>10</v>
      </c>
    </row>
    <row r="202" spans="1:6" x14ac:dyDescent="0.25">
      <c r="A202" s="16" t="s">
        <v>233</v>
      </c>
      <c r="B202" s="3" t="s">
        <v>11</v>
      </c>
      <c r="C202" s="3" t="s">
        <v>64</v>
      </c>
      <c r="D202" s="4">
        <v>45122</v>
      </c>
      <c r="E202" s="5">
        <v>12000</v>
      </c>
      <c r="F202" s="17">
        <v>1</v>
      </c>
    </row>
    <row r="203" spans="1:6" x14ac:dyDescent="0.25">
      <c r="A203" s="21" t="s">
        <v>234</v>
      </c>
      <c r="B203" s="22" t="s">
        <v>41</v>
      </c>
      <c r="C203" s="22" t="s">
        <v>12</v>
      </c>
      <c r="D203" s="23">
        <v>45415</v>
      </c>
      <c r="E203" s="24">
        <v>140000</v>
      </c>
      <c r="F203" s="25">
        <v>7</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1"/>
  <sheetViews>
    <sheetView workbookViewId="0">
      <selection activeCell="A3" sqref="A3:E11"/>
    </sheetView>
  </sheetViews>
  <sheetFormatPr defaultRowHeight="15" x14ac:dyDescent="0.25"/>
  <cols>
    <col min="1" max="1" width="13.28515625" customWidth="1"/>
    <col min="2" max="2" width="18" customWidth="1"/>
    <col min="3" max="3" width="14" customWidth="1"/>
    <col min="4" max="5" width="12" customWidth="1"/>
  </cols>
  <sheetData>
    <row r="1" spans="1:5" ht="27.95" customHeight="1" x14ac:dyDescent="0.25">
      <c r="A1" s="6" t="s">
        <v>235</v>
      </c>
    </row>
    <row r="3" spans="1:5" x14ac:dyDescent="0.25">
      <c r="A3" s="18" t="s">
        <v>2</v>
      </c>
      <c r="B3" s="19" t="s">
        <v>236</v>
      </c>
      <c r="C3" s="19" t="s">
        <v>237</v>
      </c>
      <c r="D3" s="19" t="s">
        <v>238</v>
      </c>
      <c r="E3" s="20" t="s">
        <v>239</v>
      </c>
    </row>
    <row r="4" spans="1:5" x14ac:dyDescent="0.25">
      <c r="A4" s="26" t="s">
        <v>22</v>
      </c>
      <c r="B4" s="7" t="s">
        <v>240</v>
      </c>
      <c r="C4" s="8" t="s">
        <v>241</v>
      </c>
      <c r="D4" s="9">
        <v>85000</v>
      </c>
      <c r="E4" s="27">
        <v>60000</v>
      </c>
    </row>
    <row r="5" spans="1:5" x14ac:dyDescent="0.25">
      <c r="A5" s="26" t="s">
        <v>41</v>
      </c>
      <c r="B5" s="7" t="s">
        <v>242</v>
      </c>
      <c r="C5" s="8" t="s">
        <v>241</v>
      </c>
      <c r="D5" s="9">
        <v>25000</v>
      </c>
      <c r="E5" s="27">
        <v>18000</v>
      </c>
    </row>
    <row r="6" spans="1:5" x14ac:dyDescent="0.25">
      <c r="A6" s="26" t="s">
        <v>8</v>
      </c>
      <c r="B6" s="7" t="s">
        <v>243</v>
      </c>
      <c r="C6" s="8" t="s">
        <v>244</v>
      </c>
      <c r="D6" s="9">
        <v>800</v>
      </c>
      <c r="E6" s="27">
        <v>400</v>
      </c>
    </row>
    <row r="7" spans="1:5" x14ac:dyDescent="0.25">
      <c r="A7" s="26" t="s">
        <v>27</v>
      </c>
      <c r="B7" s="7" t="s">
        <v>245</v>
      </c>
      <c r="C7" s="8" t="s">
        <v>244</v>
      </c>
      <c r="D7" s="9">
        <v>1200</v>
      </c>
      <c r="E7" s="27">
        <v>600</v>
      </c>
    </row>
    <row r="8" spans="1:5" x14ac:dyDescent="0.25">
      <c r="A8" s="26" t="s">
        <v>11</v>
      </c>
      <c r="B8" s="7" t="s">
        <v>246</v>
      </c>
      <c r="C8" s="8" t="s">
        <v>247</v>
      </c>
      <c r="D8" s="9">
        <v>3500</v>
      </c>
      <c r="E8" s="27">
        <v>2800</v>
      </c>
    </row>
    <row r="9" spans="1:5" x14ac:dyDescent="0.25">
      <c r="A9" s="26" t="s">
        <v>17</v>
      </c>
      <c r="B9" s="7" t="s">
        <v>248</v>
      </c>
      <c r="C9" s="8" t="s">
        <v>247</v>
      </c>
      <c r="D9" s="9">
        <v>800</v>
      </c>
      <c r="E9" s="27">
        <v>600</v>
      </c>
    </row>
    <row r="10" spans="1:5" x14ac:dyDescent="0.25">
      <c r="A10" s="26" t="s">
        <v>14</v>
      </c>
      <c r="B10" s="7" t="s">
        <v>249</v>
      </c>
      <c r="C10" s="8" t="s">
        <v>250</v>
      </c>
      <c r="D10" s="9">
        <v>5000</v>
      </c>
      <c r="E10" s="27">
        <v>3000</v>
      </c>
    </row>
    <row r="11" spans="1:5" x14ac:dyDescent="0.25">
      <c r="A11" s="28" t="s">
        <v>19</v>
      </c>
      <c r="B11" s="29" t="s">
        <v>251</v>
      </c>
      <c r="C11" s="30" t="s">
        <v>250</v>
      </c>
      <c r="D11" s="31">
        <v>8000</v>
      </c>
      <c r="E11" s="32">
        <v>5000</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3"/>
  <sheetViews>
    <sheetView workbookViewId="0">
      <selection activeCell="A3" sqref="A3:D23"/>
    </sheetView>
  </sheetViews>
  <sheetFormatPr defaultRowHeight="15" x14ac:dyDescent="0.25"/>
  <cols>
    <col min="1" max="1" width="15.140625" customWidth="1"/>
    <col min="2" max="2" width="22" customWidth="1"/>
    <col min="3" max="3" width="12" customWidth="1"/>
    <col min="4" max="4" width="14" customWidth="1"/>
  </cols>
  <sheetData>
    <row r="1" spans="1:4" ht="27.95" customHeight="1" x14ac:dyDescent="0.25">
      <c r="A1" s="10" t="s">
        <v>252</v>
      </c>
    </row>
    <row r="3" spans="1:4" x14ac:dyDescent="0.25">
      <c r="A3" s="18" t="s">
        <v>3</v>
      </c>
      <c r="B3" s="19" t="s">
        <v>253</v>
      </c>
      <c r="C3" s="19" t="s">
        <v>254</v>
      </c>
      <c r="D3" s="20" t="s">
        <v>255</v>
      </c>
    </row>
    <row r="4" spans="1:4" x14ac:dyDescent="0.25">
      <c r="A4" s="26" t="s">
        <v>31</v>
      </c>
      <c r="B4" s="11" t="s">
        <v>256</v>
      </c>
      <c r="C4" s="11" t="s">
        <v>257</v>
      </c>
      <c r="D4" s="17" t="s">
        <v>258</v>
      </c>
    </row>
    <row r="5" spans="1:4" x14ac:dyDescent="0.25">
      <c r="A5" s="26" t="s">
        <v>61</v>
      </c>
      <c r="B5" s="11" t="s">
        <v>259</v>
      </c>
      <c r="C5" s="11" t="s">
        <v>260</v>
      </c>
      <c r="D5" s="17" t="s">
        <v>261</v>
      </c>
    </row>
    <row r="6" spans="1:4" x14ac:dyDescent="0.25">
      <c r="A6" s="26" t="s">
        <v>92</v>
      </c>
      <c r="B6" s="11" t="s">
        <v>262</v>
      </c>
      <c r="C6" s="11" t="s">
        <v>263</v>
      </c>
      <c r="D6" s="17" t="s">
        <v>264</v>
      </c>
    </row>
    <row r="7" spans="1:4" x14ac:dyDescent="0.25">
      <c r="A7" s="26" t="s">
        <v>42</v>
      </c>
      <c r="B7" s="11" t="s">
        <v>265</v>
      </c>
      <c r="C7" s="11" t="s">
        <v>266</v>
      </c>
      <c r="D7" s="17" t="s">
        <v>267</v>
      </c>
    </row>
    <row r="8" spans="1:4" x14ac:dyDescent="0.25">
      <c r="A8" s="26" t="s">
        <v>20</v>
      </c>
      <c r="B8" s="11" t="s">
        <v>268</v>
      </c>
      <c r="C8" s="11" t="s">
        <v>269</v>
      </c>
      <c r="D8" s="17" t="s">
        <v>258</v>
      </c>
    </row>
    <row r="9" spans="1:4" x14ac:dyDescent="0.25">
      <c r="A9" s="26" t="s">
        <v>39</v>
      </c>
      <c r="B9" s="11" t="s">
        <v>270</v>
      </c>
      <c r="C9" s="11" t="s">
        <v>257</v>
      </c>
      <c r="D9" s="17" t="s">
        <v>261</v>
      </c>
    </row>
    <row r="10" spans="1:4" x14ac:dyDescent="0.25">
      <c r="A10" s="26" t="s">
        <v>49</v>
      </c>
      <c r="B10" s="11" t="s">
        <v>271</v>
      </c>
      <c r="C10" s="11" t="s">
        <v>260</v>
      </c>
      <c r="D10" s="17" t="s">
        <v>264</v>
      </c>
    </row>
    <row r="11" spans="1:4" x14ac:dyDescent="0.25">
      <c r="A11" s="26" t="s">
        <v>35</v>
      </c>
      <c r="B11" s="11" t="s">
        <v>272</v>
      </c>
      <c r="C11" s="11" t="s">
        <v>263</v>
      </c>
      <c r="D11" s="17" t="s">
        <v>267</v>
      </c>
    </row>
    <row r="12" spans="1:4" x14ac:dyDescent="0.25">
      <c r="A12" s="26" t="s">
        <v>64</v>
      </c>
      <c r="B12" s="11" t="s">
        <v>273</v>
      </c>
      <c r="C12" s="11" t="s">
        <v>266</v>
      </c>
      <c r="D12" s="17" t="s">
        <v>258</v>
      </c>
    </row>
    <row r="13" spans="1:4" x14ac:dyDescent="0.25">
      <c r="A13" s="26" t="s">
        <v>45</v>
      </c>
      <c r="B13" s="11" t="s">
        <v>274</v>
      </c>
      <c r="C13" s="11" t="s">
        <v>269</v>
      </c>
      <c r="D13" s="17" t="s">
        <v>261</v>
      </c>
    </row>
    <row r="14" spans="1:4" x14ac:dyDescent="0.25">
      <c r="A14" s="26" t="s">
        <v>25</v>
      </c>
      <c r="B14" s="11" t="s">
        <v>275</v>
      </c>
      <c r="C14" s="11" t="s">
        <v>257</v>
      </c>
      <c r="D14" s="17" t="s">
        <v>264</v>
      </c>
    </row>
    <row r="15" spans="1:4" x14ac:dyDescent="0.25">
      <c r="A15" s="26" t="s">
        <v>23</v>
      </c>
      <c r="B15" s="11" t="s">
        <v>276</v>
      </c>
      <c r="C15" s="11" t="s">
        <v>260</v>
      </c>
      <c r="D15" s="17" t="s">
        <v>267</v>
      </c>
    </row>
    <row r="16" spans="1:4" x14ac:dyDescent="0.25">
      <c r="A16" s="26" t="s">
        <v>105</v>
      </c>
      <c r="B16" s="11" t="s">
        <v>277</v>
      </c>
      <c r="C16" s="11" t="s">
        <v>263</v>
      </c>
      <c r="D16" s="17" t="s">
        <v>258</v>
      </c>
    </row>
    <row r="17" spans="1:4" x14ac:dyDescent="0.25">
      <c r="A17" s="26" t="s">
        <v>29</v>
      </c>
      <c r="B17" s="11" t="s">
        <v>278</v>
      </c>
      <c r="C17" s="11" t="s">
        <v>266</v>
      </c>
      <c r="D17" s="17" t="s">
        <v>261</v>
      </c>
    </row>
    <row r="18" spans="1:4" x14ac:dyDescent="0.25">
      <c r="A18" s="26" t="s">
        <v>85</v>
      </c>
      <c r="B18" s="11" t="s">
        <v>279</v>
      </c>
      <c r="C18" s="11" t="s">
        <v>269</v>
      </c>
      <c r="D18" s="17" t="s">
        <v>264</v>
      </c>
    </row>
    <row r="19" spans="1:4" x14ac:dyDescent="0.25">
      <c r="A19" s="26" t="s">
        <v>47</v>
      </c>
      <c r="B19" s="11" t="s">
        <v>280</v>
      </c>
      <c r="C19" s="11" t="s">
        <v>257</v>
      </c>
      <c r="D19" s="17" t="s">
        <v>267</v>
      </c>
    </row>
    <row r="20" spans="1:4" x14ac:dyDescent="0.25">
      <c r="A20" s="26" t="s">
        <v>15</v>
      </c>
      <c r="B20" s="11" t="s">
        <v>281</v>
      </c>
      <c r="C20" s="11" t="s">
        <v>260</v>
      </c>
      <c r="D20" s="17" t="s">
        <v>258</v>
      </c>
    </row>
    <row r="21" spans="1:4" x14ac:dyDescent="0.25">
      <c r="A21" s="26" t="s">
        <v>12</v>
      </c>
      <c r="B21" s="11" t="s">
        <v>282</v>
      </c>
      <c r="C21" s="11" t="s">
        <v>263</v>
      </c>
      <c r="D21" s="17" t="s">
        <v>261</v>
      </c>
    </row>
    <row r="22" spans="1:4" x14ac:dyDescent="0.25">
      <c r="A22" s="26" t="s">
        <v>9</v>
      </c>
      <c r="B22" s="11" t="s">
        <v>283</v>
      </c>
      <c r="C22" s="11" t="s">
        <v>266</v>
      </c>
      <c r="D22" s="17" t="s">
        <v>264</v>
      </c>
    </row>
    <row r="23" spans="1:4" x14ac:dyDescent="0.25">
      <c r="A23" s="28" t="s">
        <v>33</v>
      </c>
      <c r="B23" s="33" t="s">
        <v>284</v>
      </c>
      <c r="C23" s="33" t="s">
        <v>269</v>
      </c>
      <c r="D23" s="25" t="s">
        <v>267</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734"/>
  <sheetViews>
    <sheetView topLeftCell="A3" workbookViewId="0">
      <selection activeCell="I18" sqref="I18"/>
    </sheetView>
  </sheetViews>
  <sheetFormatPr defaultRowHeight="15" x14ac:dyDescent="0.25"/>
  <cols>
    <col min="1" max="1" width="13" customWidth="1"/>
    <col min="2" max="2" width="8" customWidth="1"/>
    <col min="3" max="3" width="11" customWidth="1"/>
    <col min="4" max="4" width="9.5703125" customWidth="1"/>
    <col min="5" max="5" width="15.28515625" customWidth="1"/>
    <col min="6" max="6" width="12.42578125" customWidth="1"/>
    <col min="7" max="7" width="14.28515625" customWidth="1"/>
  </cols>
  <sheetData>
    <row r="1" spans="1:7" ht="27.95" customHeight="1" x14ac:dyDescent="0.25">
      <c r="A1" s="12" t="s">
        <v>285</v>
      </c>
    </row>
    <row r="3" spans="1:7" x14ac:dyDescent="0.25">
      <c r="A3" s="18" t="s">
        <v>4</v>
      </c>
      <c r="B3" s="19" t="s">
        <v>286</v>
      </c>
      <c r="C3" s="19" t="s">
        <v>287</v>
      </c>
      <c r="D3" s="19" t="s">
        <v>288</v>
      </c>
      <c r="E3" s="19" t="s">
        <v>289</v>
      </c>
      <c r="F3" s="19" t="s">
        <v>290</v>
      </c>
      <c r="G3" s="20" t="s">
        <v>291</v>
      </c>
    </row>
    <row r="4" spans="1:7" x14ac:dyDescent="0.25">
      <c r="A4" s="34">
        <v>44927</v>
      </c>
      <c r="B4" s="3">
        <v>2023</v>
      </c>
      <c r="C4" s="3" t="s">
        <v>292</v>
      </c>
      <c r="D4" s="3">
        <v>1</v>
      </c>
      <c r="E4" s="3" t="s">
        <v>293</v>
      </c>
      <c r="F4" s="3" t="s">
        <v>294</v>
      </c>
      <c r="G4" s="35">
        <v>1</v>
      </c>
    </row>
    <row r="5" spans="1:7" x14ac:dyDescent="0.25">
      <c r="A5" s="34">
        <v>44928</v>
      </c>
      <c r="B5" s="3">
        <v>2023</v>
      </c>
      <c r="C5" s="3" t="s">
        <v>292</v>
      </c>
      <c r="D5" s="3">
        <v>1</v>
      </c>
      <c r="E5" s="3" t="s">
        <v>293</v>
      </c>
      <c r="F5" s="3" t="s">
        <v>295</v>
      </c>
      <c r="G5" s="36">
        <v>0</v>
      </c>
    </row>
    <row r="6" spans="1:7" x14ac:dyDescent="0.25">
      <c r="A6" s="34">
        <v>44929</v>
      </c>
      <c r="B6" s="3">
        <v>2023</v>
      </c>
      <c r="C6" s="3" t="s">
        <v>292</v>
      </c>
      <c r="D6" s="3">
        <v>1</v>
      </c>
      <c r="E6" s="3" t="s">
        <v>293</v>
      </c>
      <c r="F6" s="3" t="s">
        <v>296</v>
      </c>
      <c r="G6" s="36">
        <v>0</v>
      </c>
    </row>
    <row r="7" spans="1:7" x14ac:dyDescent="0.25">
      <c r="A7" s="34">
        <v>44930</v>
      </c>
      <c r="B7" s="3">
        <v>2023</v>
      </c>
      <c r="C7" s="3" t="s">
        <v>292</v>
      </c>
      <c r="D7" s="3">
        <v>1</v>
      </c>
      <c r="E7" s="3" t="s">
        <v>293</v>
      </c>
      <c r="F7" s="3" t="s">
        <v>297</v>
      </c>
      <c r="G7" s="36">
        <v>0</v>
      </c>
    </row>
    <row r="8" spans="1:7" x14ac:dyDescent="0.25">
      <c r="A8" s="34">
        <v>44931</v>
      </c>
      <c r="B8" s="3">
        <v>2023</v>
      </c>
      <c r="C8" s="3" t="s">
        <v>292</v>
      </c>
      <c r="D8" s="3">
        <v>1</v>
      </c>
      <c r="E8" s="3" t="s">
        <v>293</v>
      </c>
      <c r="F8" s="3" t="s">
        <v>298</v>
      </c>
      <c r="G8" s="36">
        <v>0</v>
      </c>
    </row>
    <row r="9" spans="1:7" x14ac:dyDescent="0.25">
      <c r="A9" s="34">
        <v>44932</v>
      </c>
      <c r="B9" s="3">
        <v>2023</v>
      </c>
      <c r="C9" s="3" t="s">
        <v>292</v>
      </c>
      <c r="D9" s="3">
        <v>1</v>
      </c>
      <c r="E9" s="3" t="s">
        <v>293</v>
      </c>
      <c r="F9" s="3" t="s">
        <v>299</v>
      </c>
      <c r="G9" s="36">
        <v>0</v>
      </c>
    </row>
    <row r="10" spans="1:7" x14ac:dyDescent="0.25">
      <c r="A10" s="34">
        <v>44933</v>
      </c>
      <c r="B10" s="3">
        <v>2023</v>
      </c>
      <c r="C10" s="3" t="s">
        <v>292</v>
      </c>
      <c r="D10" s="3">
        <v>1</v>
      </c>
      <c r="E10" s="3" t="s">
        <v>293</v>
      </c>
      <c r="F10" s="3" t="s">
        <v>300</v>
      </c>
      <c r="G10" s="35">
        <v>1</v>
      </c>
    </row>
    <row r="11" spans="1:7" x14ac:dyDescent="0.25">
      <c r="A11" s="34">
        <v>44934</v>
      </c>
      <c r="B11" s="3">
        <v>2023</v>
      </c>
      <c r="C11" s="3" t="s">
        <v>292</v>
      </c>
      <c r="D11" s="3">
        <v>1</v>
      </c>
      <c r="E11" s="3" t="s">
        <v>293</v>
      </c>
      <c r="F11" s="3" t="s">
        <v>294</v>
      </c>
      <c r="G11" s="35">
        <v>1</v>
      </c>
    </row>
    <row r="12" spans="1:7" x14ac:dyDescent="0.25">
      <c r="A12" s="34">
        <v>44935</v>
      </c>
      <c r="B12" s="3">
        <v>2023</v>
      </c>
      <c r="C12" s="3" t="s">
        <v>292</v>
      </c>
      <c r="D12" s="3">
        <v>1</v>
      </c>
      <c r="E12" s="3" t="s">
        <v>293</v>
      </c>
      <c r="F12" s="3" t="s">
        <v>295</v>
      </c>
      <c r="G12" s="36">
        <v>0</v>
      </c>
    </row>
    <row r="13" spans="1:7" x14ac:dyDescent="0.25">
      <c r="A13" s="34">
        <v>44936</v>
      </c>
      <c r="B13" s="3">
        <v>2023</v>
      </c>
      <c r="C13" s="3" t="s">
        <v>292</v>
      </c>
      <c r="D13" s="3">
        <v>1</v>
      </c>
      <c r="E13" s="3" t="s">
        <v>293</v>
      </c>
      <c r="F13" s="3" t="s">
        <v>296</v>
      </c>
      <c r="G13" s="36">
        <v>0</v>
      </c>
    </row>
    <row r="14" spans="1:7" x14ac:dyDescent="0.25">
      <c r="A14" s="34">
        <v>44937</v>
      </c>
      <c r="B14" s="3">
        <v>2023</v>
      </c>
      <c r="C14" s="3" t="s">
        <v>292</v>
      </c>
      <c r="D14" s="3">
        <v>1</v>
      </c>
      <c r="E14" s="3" t="s">
        <v>293</v>
      </c>
      <c r="F14" s="3" t="s">
        <v>297</v>
      </c>
      <c r="G14" s="36">
        <v>0</v>
      </c>
    </row>
    <row r="15" spans="1:7" x14ac:dyDescent="0.25">
      <c r="A15" s="34">
        <v>44938</v>
      </c>
      <c r="B15" s="3">
        <v>2023</v>
      </c>
      <c r="C15" s="3" t="s">
        <v>292</v>
      </c>
      <c r="D15" s="3">
        <v>1</v>
      </c>
      <c r="E15" s="3" t="s">
        <v>293</v>
      </c>
      <c r="F15" s="3" t="s">
        <v>298</v>
      </c>
      <c r="G15" s="36">
        <v>0</v>
      </c>
    </row>
    <row r="16" spans="1:7" x14ac:dyDescent="0.25">
      <c r="A16" s="34">
        <v>44939</v>
      </c>
      <c r="B16" s="3">
        <v>2023</v>
      </c>
      <c r="C16" s="3" t="s">
        <v>292</v>
      </c>
      <c r="D16" s="3">
        <v>1</v>
      </c>
      <c r="E16" s="3" t="s">
        <v>293</v>
      </c>
      <c r="F16" s="3" t="s">
        <v>299</v>
      </c>
      <c r="G16" s="36">
        <v>0</v>
      </c>
    </row>
    <row r="17" spans="1:7" x14ac:dyDescent="0.25">
      <c r="A17" s="34">
        <v>44940</v>
      </c>
      <c r="B17" s="3">
        <v>2023</v>
      </c>
      <c r="C17" s="3" t="s">
        <v>292</v>
      </c>
      <c r="D17" s="3">
        <v>1</v>
      </c>
      <c r="E17" s="3" t="s">
        <v>293</v>
      </c>
      <c r="F17" s="3" t="s">
        <v>300</v>
      </c>
      <c r="G17" s="35">
        <v>1</v>
      </c>
    </row>
    <row r="18" spans="1:7" x14ac:dyDescent="0.25">
      <c r="A18" s="34">
        <v>44941</v>
      </c>
      <c r="B18" s="3">
        <v>2023</v>
      </c>
      <c r="C18" s="3" t="s">
        <v>292</v>
      </c>
      <c r="D18" s="3">
        <v>1</v>
      </c>
      <c r="E18" s="3" t="s">
        <v>293</v>
      </c>
      <c r="F18" s="3" t="s">
        <v>294</v>
      </c>
      <c r="G18" s="35">
        <v>1</v>
      </c>
    </row>
    <row r="19" spans="1:7" x14ac:dyDescent="0.25">
      <c r="A19" s="34">
        <v>44942</v>
      </c>
      <c r="B19" s="3">
        <v>2023</v>
      </c>
      <c r="C19" s="3" t="s">
        <v>292</v>
      </c>
      <c r="D19" s="3">
        <v>1</v>
      </c>
      <c r="E19" s="3" t="s">
        <v>293</v>
      </c>
      <c r="F19" s="3" t="s">
        <v>295</v>
      </c>
      <c r="G19" s="36">
        <v>0</v>
      </c>
    </row>
    <row r="20" spans="1:7" x14ac:dyDescent="0.25">
      <c r="A20" s="34">
        <v>44943</v>
      </c>
      <c r="B20" s="3">
        <v>2023</v>
      </c>
      <c r="C20" s="3" t="s">
        <v>292</v>
      </c>
      <c r="D20" s="3">
        <v>1</v>
      </c>
      <c r="E20" s="3" t="s">
        <v>293</v>
      </c>
      <c r="F20" s="3" t="s">
        <v>296</v>
      </c>
      <c r="G20" s="36">
        <v>0</v>
      </c>
    </row>
    <row r="21" spans="1:7" x14ac:dyDescent="0.25">
      <c r="A21" s="34">
        <v>44944</v>
      </c>
      <c r="B21" s="3">
        <v>2023</v>
      </c>
      <c r="C21" s="3" t="s">
        <v>292</v>
      </c>
      <c r="D21" s="3">
        <v>1</v>
      </c>
      <c r="E21" s="3" t="s">
        <v>293</v>
      </c>
      <c r="F21" s="3" t="s">
        <v>297</v>
      </c>
      <c r="G21" s="36">
        <v>0</v>
      </c>
    </row>
    <row r="22" spans="1:7" x14ac:dyDescent="0.25">
      <c r="A22" s="34">
        <v>44945</v>
      </c>
      <c r="B22" s="3">
        <v>2023</v>
      </c>
      <c r="C22" s="3" t="s">
        <v>292</v>
      </c>
      <c r="D22" s="3">
        <v>1</v>
      </c>
      <c r="E22" s="3" t="s">
        <v>293</v>
      </c>
      <c r="F22" s="3" t="s">
        <v>298</v>
      </c>
      <c r="G22" s="36">
        <v>0</v>
      </c>
    </row>
    <row r="23" spans="1:7" x14ac:dyDescent="0.25">
      <c r="A23" s="34">
        <v>44946</v>
      </c>
      <c r="B23" s="3">
        <v>2023</v>
      </c>
      <c r="C23" s="3" t="s">
        <v>292</v>
      </c>
      <c r="D23" s="3">
        <v>1</v>
      </c>
      <c r="E23" s="3" t="s">
        <v>293</v>
      </c>
      <c r="F23" s="3" t="s">
        <v>299</v>
      </c>
      <c r="G23" s="36">
        <v>0</v>
      </c>
    </row>
    <row r="24" spans="1:7" x14ac:dyDescent="0.25">
      <c r="A24" s="34">
        <v>44947</v>
      </c>
      <c r="B24" s="3">
        <v>2023</v>
      </c>
      <c r="C24" s="3" t="s">
        <v>292</v>
      </c>
      <c r="D24" s="3">
        <v>1</v>
      </c>
      <c r="E24" s="3" t="s">
        <v>293</v>
      </c>
      <c r="F24" s="3" t="s">
        <v>300</v>
      </c>
      <c r="G24" s="35">
        <v>1</v>
      </c>
    </row>
    <row r="25" spans="1:7" x14ac:dyDescent="0.25">
      <c r="A25" s="34">
        <v>44948</v>
      </c>
      <c r="B25" s="3">
        <v>2023</v>
      </c>
      <c r="C25" s="3" t="s">
        <v>292</v>
      </c>
      <c r="D25" s="3">
        <v>1</v>
      </c>
      <c r="E25" s="3" t="s">
        <v>293</v>
      </c>
      <c r="F25" s="3" t="s">
        <v>294</v>
      </c>
      <c r="G25" s="35">
        <v>1</v>
      </c>
    </row>
    <row r="26" spans="1:7" x14ac:dyDescent="0.25">
      <c r="A26" s="34">
        <v>44949</v>
      </c>
      <c r="B26" s="3">
        <v>2023</v>
      </c>
      <c r="C26" s="3" t="s">
        <v>292</v>
      </c>
      <c r="D26" s="3">
        <v>1</v>
      </c>
      <c r="E26" s="3" t="s">
        <v>293</v>
      </c>
      <c r="F26" s="3" t="s">
        <v>295</v>
      </c>
      <c r="G26" s="36">
        <v>0</v>
      </c>
    </row>
    <row r="27" spans="1:7" x14ac:dyDescent="0.25">
      <c r="A27" s="34">
        <v>44950</v>
      </c>
      <c r="B27" s="3">
        <v>2023</v>
      </c>
      <c r="C27" s="3" t="s">
        <v>292</v>
      </c>
      <c r="D27" s="3">
        <v>1</v>
      </c>
      <c r="E27" s="3" t="s">
        <v>293</v>
      </c>
      <c r="F27" s="3" t="s">
        <v>296</v>
      </c>
      <c r="G27" s="36">
        <v>0</v>
      </c>
    </row>
    <row r="28" spans="1:7" x14ac:dyDescent="0.25">
      <c r="A28" s="34">
        <v>44951</v>
      </c>
      <c r="B28" s="3">
        <v>2023</v>
      </c>
      <c r="C28" s="3" t="s">
        <v>292</v>
      </c>
      <c r="D28" s="3">
        <v>1</v>
      </c>
      <c r="E28" s="3" t="s">
        <v>293</v>
      </c>
      <c r="F28" s="3" t="s">
        <v>297</v>
      </c>
      <c r="G28" s="36">
        <v>0</v>
      </c>
    </row>
    <row r="29" spans="1:7" x14ac:dyDescent="0.25">
      <c r="A29" s="34">
        <v>44952</v>
      </c>
      <c r="B29" s="3">
        <v>2023</v>
      </c>
      <c r="C29" s="3" t="s">
        <v>292</v>
      </c>
      <c r="D29" s="3">
        <v>1</v>
      </c>
      <c r="E29" s="3" t="s">
        <v>293</v>
      </c>
      <c r="F29" s="3" t="s">
        <v>298</v>
      </c>
      <c r="G29" s="36">
        <v>0</v>
      </c>
    </row>
    <row r="30" spans="1:7" x14ac:dyDescent="0.25">
      <c r="A30" s="34">
        <v>44953</v>
      </c>
      <c r="B30" s="3">
        <v>2023</v>
      </c>
      <c r="C30" s="3" t="s">
        <v>292</v>
      </c>
      <c r="D30" s="3">
        <v>1</v>
      </c>
      <c r="E30" s="3" t="s">
        <v>293</v>
      </c>
      <c r="F30" s="3" t="s">
        <v>299</v>
      </c>
      <c r="G30" s="36">
        <v>0</v>
      </c>
    </row>
    <row r="31" spans="1:7" x14ac:dyDescent="0.25">
      <c r="A31" s="34">
        <v>44954</v>
      </c>
      <c r="B31" s="3">
        <v>2023</v>
      </c>
      <c r="C31" s="3" t="s">
        <v>292</v>
      </c>
      <c r="D31" s="3">
        <v>1</v>
      </c>
      <c r="E31" s="3" t="s">
        <v>293</v>
      </c>
      <c r="F31" s="3" t="s">
        <v>300</v>
      </c>
      <c r="G31" s="35">
        <v>1</v>
      </c>
    </row>
    <row r="32" spans="1:7" x14ac:dyDescent="0.25">
      <c r="A32" s="34">
        <v>44955</v>
      </c>
      <c r="B32" s="3">
        <v>2023</v>
      </c>
      <c r="C32" s="3" t="s">
        <v>292</v>
      </c>
      <c r="D32" s="3">
        <v>1</v>
      </c>
      <c r="E32" s="3" t="s">
        <v>293</v>
      </c>
      <c r="F32" s="3" t="s">
        <v>294</v>
      </c>
      <c r="G32" s="35">
        <v>1</v>
      </c>
    </row>
    <row r="33" spans="1:7" x14ac:dyDescent="0.25">
      <c r="A33" s="34">
        <v>44956</v>
      </c>
      <c r="B33" s="3">
        <v>2023</v>
      </c>
      <c r="C33" s="3" t="s">
        <v>292</v>
      </c>
      <c r="D33" s="3">
        <v>1</v>
      </c>
      <c r="E33" s="3" t="s">
        <v>293</v>
      </c>
      <c r="F33" s="3" t="s">
        <v>295</v>
      </c>
      <c r="G33" s="36">
        <v>0</v>
      </c>
    </row>
    <row r="34" spans="1:7" x14ac:dyDescent="0.25">
      <c r="A34" s="34">
        <v>44957</v>
      </c>
      <c r="B34" s="3">
        <v>2023</v>
      </c>
      <c r="C34" s="3" t="s">
        <v>292</v>
      </c>
      <c r="D34" s="3">
        <v>1</v>
      </c>
      <c r="E34" s="3" t="s">
        <v>293</v>
      </c>
      <c r="F34" s="3" t="s">
        <v>296</v>
      </c>
      <c r="G34" s="36">
        <v>0</v>
      </c>
    </row>
    <row r="35" spans="1:7" x14ac:dyDescent="0.25">
      <c r="A35" s="34">
        <v>44958</v>
      </c>
      <c r="B35" s="3">
        <v>2023</v>
      </c>
      <c r="C35" s="3" t="s">
        <v>292</v>
      </c>
      <c r="D35" s="3">
        <v>2</v>
      </c>
      <c r="E35" s="3" t="s">
        <v>301</v>
      </c>
      <c r="F35" s="3" t="s">
        <v>297</v>
      </c>
      <c r="G35" s="36">
        <v>0</v>
      </c>
    </row>
    <row r="36" spans="1:7" x14ac:dyDescent="0.25">
      <c r="A36" s="34">
        <v>44959</v>
      </c>
      <c r="B36" s="3">
        <v>2023</v>
      </c>
      <c r="C36" s="3" t="s">
        <v>292</v>
      </c>
      <c r="D36" s="3">
        <v>2</v>
      </c>
      <c r="E36" s="3" t="s">
        <v>301</v>
      </c>
      <c r="F36" s="3" t="s">
        <v>298</v>
      </c>
      <c r="G36" s="36">
        <v>0</v>
      </c>
    </row>
    <row r="37" spans="1:7" x14ac:dyDescent="0.25">
      <c r="A37" s="34">
        <v>44960</v>
      </c>
      <c r="B37" s="3">
        <v>2023</v>
      </c>
      <c r="C37" s="3" t="s">
        <v>292</v>
      </c>
      <c r="D37" s="3">
        <v>2</v>
      </c>
      <c r="E37" s="3" t="s">
        <v>301</v>
      </c>
      <c r="F37" s="3" t="s">
        <v>299</v>
      </c>
      <c r="G37" s="36">
        <v>0</v>
      </c>
    </row>
    <row r="38" spans="1:7" x14ac:dyDescent="0.25">
      <c r="A38" s="34">
        <v>44961</v>
      </c>
      <c r="B38" s="3">
        <v>2023</v>
      </c>
      <c r="C38" s="3" t="s">
        <v>292</v>
      </c>
      <c r="D38" s="3">
        <v>2</v>
      </c>
      <c r="E38" s="3" t="s">
        <v>301</v>
      </c>
      <c r="F38" s="3" t="s">
        <v>300</v>
      </c>
      <c r="G38" s="35">
        <v>1</v>
      </c>
    </row>
    <row r="39" spans="1:7" x14ac:dyDescent="0.25">
      <c r="A39" s="34">
        <v>44962</v>
      </c>
      <c r="B39" s="3">
        <v>2023</v>
      </c>
      <c r="C39" s="3" t="s">
        <v>292</v>
      </c>
      <c r="D39" s="3">
        <v>2</v>
      </c>
      <c r="E39" s="3" t="s">
        <v>301</v>
      </c>
      <c r="F39" s="3" t="s">
        <v>294</v>
      </c>
      <c r="G39" s="35">
        <v>1</v>
      </c>
    </row>
    <row r="40" spans="1:7" x14ac:dyDescent="0.25">
      <c r="A40" s="34">
        <v>44963</v>
      </c>
      <c r="B40" s="3">
        <v>2023</v>
      </c>
      <c r="C40" s="3" t="s">
        <v>292</v>
      </c>
      <c r="D40" s="3">
        <v>2</v>
      </c>
      <c r="E40" s="3" t="s">
        <v>301</v>
      </c>
      <c r="F40" s="3" t="s">
        <v>295</v>
      </c>
      <c r="G40" s="36">
        <v>0</v>
      </c>
    </row>
    <row r="41" spans="1:7" x14ac:dyDescent="0.25">
      <c r="A41" s="34">
        <v>44964</v>
      </c>
      <c r="B41" s="3">
        <v>2023</v>
      </c>
      <c r="C41" s="3" t="s">
        <v>292</v>
      </c>
      <c r="D41" s="3">
        <v>2</v>
      </c>
      <c r="E41" s="3" t="s">
        <v>301</v>
      </c>
      <c r="F41" s="3" t="s">
        <v>296</v>
      </c>
      <c r="G41" s="36">
        <v>0</v>
      </c>
    </row>
    <row r="42" spans="1:7" x14ac:dyDescent="0.25">
      <c r="A42" s="34">
        <v>44965</v>
      </c>
      <c r="B42" s="3">
        <v>2023</v>
      </c>
      <c r="C42" s="3" t="s">
        <v>292</v>
      </c>
      <c r="D42" s="3">
        <v>2</v>
      </c>
      <c r="E42" s="3" t="s">
        <v>301</v>
      </c>
      <c r="F42" s="3" t="s">
        <v>297</v>
      </c>
      <c r="G42" s="36">
        <v>0</v>
      </c>
    </row>
    <row r="43" spans="1:7" x14ac:dyDescent="0.25">
      <c r="A43" s="34">
        <v>44966</v>
      </c>
      <c r="B43" s="3">
        <v>2023</v>
      </c>
      <c r="C43" s="3" t="s">
        <v>292</v>
      </c>
      <c r="D43" s="3">
        <v>2</v>
      </c>
      <c r="E43" s="3" t="s">
        <v>301</v>
      </c>
      <c r="F43" s="3" t="s">
        <v>298</v>
      </c>
      <c r="G43" s="36">
        <v>0</v>
      </c>
    </row>
    <row r="44" spans="1:7" x14ac:dyDescent="0.25">
      <c r="A44" s="34">
        <v>44967</v>
      </c>
      <c r="B44" s="3">
        <v>2023</v>
      </c>
      <c r="C44" s="3" t="s">
        <v>292</v>
      </c>
      <c r="D44" s="3">
        <v>2</v>
      </c>
      <c r="E44" s="3" t="s">
        <v>301</v>
      </c>
      <c r="F44" s="3" t="s">
        <v>299</v>
      </c>
      <c r="G44" s="36">
        <v>0</v>
      </c>
    </row>
    <row r="45" spans="1:7" x14ac:dyDescent="0.25">
      <c r="A45" s="34">
        <v>44968</v>
      </c>
      <c r="B45" s="3">
        <v>2023</v>
      </c>
      <c r="C45" s="3" t="s">
        <v>292</v>
      </c>
      <c r="D45" s="3">
        <v>2</v>
      </c>
      <c r="E45" s="3" t="s">
        <v>301</v>
      </c>
      <c r="F45" s="3" t="s">
        <v>300</v>
      </c>
      <c r="G45" s="35">
        <v>1</v>
      </c>
    </row>
    <row r="46" spans="1:7" x14ac:dyDescent="0.25">
      <c r="A46" s="34">
        <v>44969</v>
      </c>
      <c r="B46" s="3">
        <v>2023</v>
      </c>
      <c r="C46" s="3" t="s">
        <v>292</v>
      </c>
      <c r="D46" s="3">
        <v>2</v>
      </c>
      <c r="E46" s="3" t="s">
        <v>301</v>
      </c>
      <c r="F46" s="3" t="s">
        <v>294</v>
      </c>
      <c r="G46" s="35">
        <v>1</v>
      </c>
    </row>
    <row r="47" spans="1:7" x14ac:dyDescent="0.25">
      <c r="A47" s="34">
        <v>44970</v>
      </c>
      <c r="B47" s="3">
        <v>2023</v>
      </c>
      <c r="C47" s="3" t="s">
        <v>292</v>
      </c>
      <c r="D47" s="3">
        <v>2</v>
      </c>
      <c r="E47" s="3" t="s">
        <v>301</v>
      </c>
      <c r="F47" s="3" t="s">
        <v>295</v>
      </c>
      <c r="G47" s="36">
        <v>0</v>
      </c>
    </row>
    <row r="48" spans="1:7" x14ac:dyDescent="0.25">
      <c r="A48" s="34">
        <v>44971</v>
      </c>
      <c r="B48" s="3">
        <v>2023</v>
      </c>
      <c r="C48" s="3" t="s">
        <v>292</v>
      </c>
      <c r="D48" s="3">
        <v>2</v>
      </c>
      <c r="E48" s="3" t="s">
        <v>301</v>
      </c>
      <c r="F48" s="3" t="s">
        <v>296</v>
      </c>
      <c r="G48" s="36">
        <v>0</v>
      </c>
    </row>
    <row r="49" spans="1:7" x14ac:dyDescent="0.25">
      <c r="A49" s="34">
        <v>44972</v>
      </c>
      <c r="B49" s="3">
        <v>2023</v>
      </c>
      <c r="C49" s="3" t="s">
        <v>292</v>
      </c>
      <c r="D49" s="3">
        <v>2</v>
      </c>
      <c r="E49" s="3" t="s">
        <v>301</v>
      </c>
      <c r="F49" s="3" t="s">
        <v>297</v>
      </c>
      <c r="G49" s="36">
        <v>0</v>
      </c>
    </row>
    <row r="50" spans="1:7" x14ac:dyDescent="0.25">
      <c r="A50" s="34">
        <v>44973</v>
      </c>
      <c r="B50" s="3">
        <v>2023</v>
      </c>
      <c r="C50" s="3" t="s">
        <v>292</v>
      </c>
      <c r="D50" s="3">
        <v>2</v>
      </c>
      <c r="E50" s="3" t="s">
        <v>301</v>
      </c>
      <c r="F50" s="3" t="s">
        <v>298</v>
      </c>
      <c r="G50" s="36">
        <v>0</v>
      </c>
    </row>
    <row r="51" spans="1:7" x14ac:dyDescent="0.25">
      <c r="A51" s="34">
        <v>44974</v>
      </c>
      <c r="B51" s="3">
        <v>2023</v>
      </c>
      <c r="C51" s="3" t="s">
        <v>292</v>
      </c>
      <c r="D51" s="3">
        <v>2</v>
      </c>
      <c r="E51" s="3" t="s">
        <v>301</v>
      </c>
      <c r="F51" s="3" t="s">
        <v>299</v>
      </c>
      <c r="G51" s="36">
        <v>0</v>
      </c>
    </row>
    <row r="52" spans="1:7" x14ac:dyDescent="0.25">
      <c r="A52" s="34">
        <v>44975</v>
      </c>
      <c r="B52" s="3">
        <v>2023</v>
      </c>
      <c r="C52" s="3" t="s">
        <v>292</v>
      </c>
      <c r="D52" s="3">
        <v>2</v>
      </c>
      <c r="E52" s="3" t="s">
        <v>301</v>
      </c>
      <c r="F52" s="3" t="s">
        <v>300</v>
      </c>
      <c r="G52" s="35">
        <v>1</v>
      </c>
    </row>
    <row r="53" spans="1:7" x14ac:dyDescent="0.25">
      <c r="A53" s="34">
        <v>44976</v>
      </c>
      <c r="B53" s="3">
        <v>2023</v>
      </c>
      <c r="C53" s="3" t="s">
        <v>292</v>
      </c>
      <c r="D53" s="3">
        <v>2</v>
      </c>
      <c r="E53" s="3" t="s">
        <v>301</v>
      </c>
      <c r="F53" s="3" t="s">
        <v>294</v>
      </c>
      <c r="G53" s="35">
        <v>1</v>
      </c>
    </row>
    <row r="54" spans="1:7" x14ac:dyDescent="0.25">
      <c r="A54" s="34">
        <v>44977</v>
      </c>
      <c r="B54" s="3">
        <v>2023</v>
      </c>
      <c r="C54" s="3" t="s">
        <v>292</v>
      </c>
      <c r="D54" s="3">
        <v>2</v>
      </c>
      <c r="E54" s="3" t="s">
        <v>301</v>
      </c>
      <c r="F54" s="3" t="s">
        <v>295</v>
      </c>
      <c r="G54" s="36">
        <v>0</v>
      </c>
    </row>
    <row r="55" spans="1:7" x14ac:dyDescent="0.25">
      <c r="A55" s="34">
        <v>44978</v>
      </c>
      <c r="B55" s="3">
        <v>2023</v>
      </c>
      <c r="C55" s="3" t="s">
        <v>292</v>
      </c>
      <c r="D55" s="3">
        <v>2</v>
      </c>
      <c r="E55" s="3" t="s">
        <v>301</v>
      </c>
      <c r="F55" s="3" t="s">
        <v>296</v>
      </c>
      <c r="G55" s="36">
        <v>0</v>
      </c>
    </row>
    <row r="56" spans="1:7" x14ac:dyDescent="0.25">
      <c r="A56" s="34">
        <v>44979</v>
      </c>
      <c r="B56" s="3">
        <v>2023</v>
      </c>
      <c r="C56" s="3" t="s">
        <v>292</v>
      </c>
      <c r="D56" s="3">
        <v>2</v>
      </c>
      <c r="E56" s="3" t="s">
        <v>301</v>
      </c>
      <c r="F56" s="3" t="s">
        <v>297</v>
      </c>
      <c r="G56" s="36">
        <v>0</v>
      </c>
    </row>
    <row r="57" spans="1:7" x14ac:dyDescent="0.25">
      <c r="A57" s="34">
        <v>44980</v>
      </c>
      <c r="B57" s="3">
        <v>2023</v>
      </c>
      <c r="C57" s="3" t="s">
        <v>292</v>
      </c>
      <c r="D57" s="3">
        <v>2</v>
      </c>
      <c r="E57" s="3" t="s">
        <v>301</v>
      </c>
      <c r="F57" s="3" t="s">
        <v>298</v>
      </c>
      <c r="G57" s="36">
        <v>0</v>
      </c>
    </row>
    <row r="58" spans="1:7" x14ac:dyDescent="0.25">
      <c r="A58" s="34">
        <v>44981</v>
      </c>
      <c r="B58" s="3">
        <v>2023</v>
      </c>
      <c r="C58" s="3" t="s">
        <v>292</v>
      </c>
      <c r="D58" s="3">
        <v>2</v>
      </c>
      <c r="E58" s="3" t="s">
        <v>301</v>
      </c>
      <c r="F58" s="3" t="s">
        <v>299</v>
      </c>
      <c r="G58" s="36">
        <v>0</v>
      </c>
    </row>
    <row r="59" spans="1:7" x14ac:dyDescent="0.25">
      <c r="A59" s="34">
        <v>44982</v>
      </c>
      <c r="B59" s="3">
        <v>2023</v>
      </c>
      <c r="C59" s="3" t="s">
        <v>292</v>
      </c>
      <c r="D59" s="3">
        <v>2</v>
      </c>
      <c r="E59" s="3" t="s">
        <v>301</v>
      </c>
      <c r="F59" s="3" t="s">
        <v>300</v>
      </c>
      <c r="G59" s="35">
        <v>1</v>
      </c>
    </row>
    <row r="60" spans="1:7" x14ac:dyDescent="0.25">
      <c r="A60" s="34">
        <v>44983</v>
      </c>
      <c r="B60" s="3">
        <v>2023</v>
      </c>
      <c r="C60" s="3" t="s">
        <v>292</v>
      </c>
      <c r="D60" s="3">
        <v>2</v>
      </c>
      <c r="E60" s="3" t="s">
        <v>301</v>
      </c>
      <c r="F60" s="3" t="s">
        <v>294</v>
      </c>
      <c r="G60" s="35">
        <v>1</v>
      </c>
    </row>
    <row r="61" spans="1:7" x14ac:dyDescent="0.25">
      <c r="A61" s="34">
        <v>44984</v>
      </c>
      <c r="B61" s="3">
        <v>2023</v>
      </c>
      <c r="C61" s="3" t="s">
        <v>292</v>
      </c>
      <c r="D61" s="3">
        <v>2</v>
      </c>
      <c r="E61" s="3" t="s">
        <v>301</v>
      </c>
      <c r="F61" s="3" t="s">
        <v>295</v>
      </c>
      <c r="G61" s="36">
        <v>0</v>
      </c>
    </row>
    <row r="62" spans="1:7" x14ac:dyDescent="0.25">
      <c r="A62" s="34">
        <v>44985</v>
      </c>
      <c r="B62" s="3">
        <v>2023</v>
      </c>
      <c r="C62" s="3" t="s">
        <v>292</v>
      </c>
      <c r="D62" s="3">
        <v>2</v>
      </c>
      <c r="E62" s="3" t="s">
        <v>301</v>
      </c>
      <c r="F62" s="3" t="s">
        <v>296</v>
      </c>
      <c r="G62" s="36">
        <v>0</v>
      </c>
    </row>
    <row r="63" spans="1:7" x14ac:dyDescent="0.25">
      <c r="A63" s="34">
        <v>44986</v>
      </c>
      <c r="B63" s="3">
        <v>2023</v>
      </c>
      <c r="C63" s="3" t="s">
        <v>292</v>
      </c>
      <c r="D63" s="3">
        <v>3</v>
      </c>
      <c r="E63" s="3" t="s">
        <v>302</v>
      </c>
      <c r="F63" s="3" t="s">
        <v>297</v>
      </c>
      <c r="G63" s="36">
        <v>0</v>
      </c>
    </row>
    <row r="64" spans="1:7" x14ac:dyDescent="0.25">
      <c r="A64" s="34">
        <v>44987</v>
      </c>
      <c r="B64" s="3">
        <v>2023</v>
      </c>
      <c r="C64" s="3" t="s">
        <v>292</v>
      </c>
      <c r="D64" s="3">
        <v>3</v>
      </c>
      <c r="E64" s="3" t="s">
        <v>302</v>
      </c>
      <c r="F64" s="3" t="s">
        <v>298</v>
      </c>
      <c r="G64" s="36">
        <v>0</v>
      </c>
    </row>
    <row r="65" spans="1:7" x14ac:dyDescent="0.25">
      <c r="A65" s="34">
        <v>44988</v>
      </c>
      <c r="B65" s="3">
        <v>2023</v>
      </c>
      <c r="C65" s="3" t="s">
        <v>292</v>
      </c>
      <c r="D65" s="3">
        <v>3</v>
      </c>
      <c r="E65" s="3" t="s">
        <v>302</v>
      </c>
      <c r="F65" s="3" t="s">
        <v>299</v>
      </c>
      <c r="G65" s="36">
        <v>0</v>
      </c>
    </row>
    <row r="66" spans="1:7" x14ac:dyDescent="0.25">
      <c r="A66" s="34">
        <v>44989</v>
      </c>
      <c r="B66" s="3">
        <v>2023</v>
      </c>
      <c r="C66" s="3" t="s">
        <v>292</v>
      </c>
      <c r="D66" s="3">
        <v>3</v>
      </c>
      <c r="E66" s="3" t="s">
        <v>302</v>
      </c>
      <c r="F66" s="3" t="s">
        <v>300</v>
      </c>
      <c r="G66" s="35">
        <v>1</v>
      </c>
    </row>
    <row r="67" spans="1:7" x14ac:dyDescent="0.25">
      <c r="A67" s="34">
        <v>44990</v>
      </c>
      <c r="B67" s="3">
        <v>2023</v>
      </c>
      <c r="C67" s="3" t="s">
        <v>292</v>
      </c>
      <c r="D67" s="3">
        <v>3</v>
      </c>
      <c r="E67" s="3" t="s">
        <v>302</v>
      </c>
      <c r="F67" s="3" t="s">
        <v>294</v>
      </c>
      <c r="G67" s="35">
        <v>1</v>
      </c>
    </row>
    <row r="68" spans="1:7" x14ac:dyDescent="0.25">
      <c r="A68" s="34">
        <v>44991</v>
      </c>
      <c r="B68" s="3">
        <v>2023</v>
      </c>
      <c r="C68" s="3" t="s">
        <v>292</v>
      </c>
      <c r="D68" s="3">
        <v>3</v>
      </c>
      <c r="E68" s="3" t="s">
        <v>302</v>
      </c>
      <c r="F68" s="3" t="s">
        <v>295</v>
      </c>
      <c r="G68" s="36">
        <v>0</v>
      </c>
    </row>
    <row r="69" spans="1:7" x14ac:dyDescent="0.25">
      <c r="A69" s="34">
        <v>44992</v>
      </c>
      <c r="B69" s="3">
        <v>2023</v>
      </c>
      <c r="C69" s="3" t="s">
        <v>292</v>
      </c>
      <c r="D69" s="3">
        <v>3</v>
      </c>
      <c r="E69" s="3" t="s">
        <v>302</v>
      </c>
      <c r="F69" s="3" t="s">
        <v>296</v>
      </c>
      <c r="G69" s="36">
        <v>0</v>
      </c>
    </row>
    <row r="70" spans="1:7" x14ac:dyDescent="0.25">
      <c r="A70" s="34">
        <v>44993</v>
      </c>
      <c r="B70" s="3">
        <v>2023</v>
      </c>
      <c r="C70" s="3" t="s">
        <v>292</v>
      </c>
      <c r="D70" s="3">
        <v>3</v>
      </c>
      <c r="E70" s="3" t="s">
        <v>302</v>
      </c>
      <c r="F70" s="3" t="s">
        <v>297</v>
      </c>
      <c r="G70" s="36">
        <v>0</v>
      </c>
    </row>
    <row r="71" spans="1:7" x14ac:dyDescent="0.25">
      <c r="A71" s="34">
        <v>44994</v>
      </c>
      <c r="B71" s="3">
        <v>2023</v>
      </c>
      <c r="C71" s="3" t="s">
        <v>292</v>
      </c>
      <c r="D71" s="3">
        <v>3</v>
      </c>
      <c r="E71" s="3" t="s">
        <v>302</v>
      </c>
      <c r="F71" s="3" t="s">
        <v>298</v>
      </c>
      <c r="G71" s="36">
        <v>0</v>
      </c>
    </row>
    <row r="72" spans="1:7" x14ac:dyDescent="0.25">
      <c r="A72" s="34">
        <v>44995</v>
      </c>
      <c r="B72" s="3">
        <v>2023</v>
      </c>
      <c r="C72" s="3" t="s">
        <v>292</v>
      </c>
      <c r="D72" s="3">
        <v>3</v>
      </c>
      <c r="E72" s="3" t="s">
        <v>302</v>
      </c>
      <c r="F72" s="3" t="s">
        <v>299</v>
      </c>
      <c r="G72" s="36">
        <v>0</v>
      </c>
    </row>
    <row r="73" spans="1:7" x14ac:dyDescent="0.25">
      <c r="A73" s="34">
        <v>44996</v>
      </c>
      <c r="B73" s="3">
        <v>2023</v>
      </c>
      <c r="C73" s="3" t="s">
        <v>292</v>
      </c>
      <c r="D73" s="3">
        <v>3</v>
      </c>
      <c r="E73" s="3" t="s">
        <v>302</v>
      </c>
      <c r="F73" s="3" t="s">
        <v>300</v>
      </c>
      <c r="G73" s="35">
        <v>1</v>
      </c>
    </row>
    <row r="74" spans="1:7" x14ac:dyDescent="0.25">
      <c r="A74" s="34">
        <v>44997</v>
      </c>
      <c r="B74" s="3">
        <v>2023</v>
      </c>
      <c r="C74" s="3" t="s">
        <v>292</v>
      </c>
      <c r="D74" s="3">
        <v>3</v>
      </c>
      <c r="E74" s="3" t="s">
        <v>302</v>
      </c>
      <c r="F74" s="3" t="s">
        <v>294</v>
      </c>
      <c r="G74" s="35">
        <v>1</v>
      </c>
    </row>
    <row r="75" spans="1:7" x14ac:dyDescent="0.25">
      <c r="A75" s="34">
        <v>44998</v>
      </c>
      <c r="B75" s="3">
        <v>2023</v>
      </c>
      <c r="C75" s="3" t="s">
        <v>292</v>
      </c>
      <c r="D75" s="3">
        <v>3</v>
      </c>
      <c r="E75" s="3" t="s">
        <v>302</v>
      </c>
      <c r="F75" s="3" t="s">
        <v>295</v>
      </c>
      <c r="G75" s="36">
        <v>0</v>
      </c>
    </row>
    <row r="76" spans="1:7" x14ac:dyDescent="0.25">
      <c r="A76" s="34">
        <v>44999</v>
      </c>
      <c r="B76" s="3">
        <v>2023</v>
      </c>
      <c r="C76" s="3" t="s">
        <v>292</v>
      </c>
      <c r="D76" s="3">
        <v>3</v>
      </c>
      <c r="E76" s="3" t="s">
        <v>302</v>
      </c>
      <c r="F76" s="3" t="s">
        <v>296</v>
      </c>
      <c r="G76" s="36">
        <v>0</v>
      </c>
    </row>
    <row r="77" spans="1:7" x14ac:dyDescent="0.25">
      <c r="A77" s="34">
        <v>45000</v>
      </c>
      <c r="B77" s="3">
        <v>2023</v>
      </c>
      <c r="C77" s="3" t="s">
        <v>292</v>
      </c>
      <c r="D77" s="3">
        <v>3</v>
      </c>
      <c r="E77" s="3" t="s">
        <v>302</v>
      </c>
      <c r="F77" s="3" t="s">
        <v>297</v>
      </c>
      <c r="G77" s="36">
        <v>0</v>
      </c>
    </row>
    <row r="78" spans="1:7" x14ac:dyDescent="0.25">
      <c r="A78" s="34">
        <v>45001</v>
      </c>
      <c r="B78" s="3">
        <v>2023</v>
      </c>
      <c r="C78" s="3" t="s">
        <v>292</v>
      </c>
      <c r="D78" s="3">
        <v>3</v>
      </c>
      <c r="E78" s="3" t="s">
        <v>302</v>
      </c>
      <c r="F78" s="3" t="s">
        <v>298</v>
      </c>
      <c r="G78" s="36">
        <v>0</v>
      </c>
    </row>
    <row r="79" spans="1:7" x14ac:dyDescent="0.25">
      <c r="A79" s="34">
        <v>45002</v>
      </c>
      <c r="B79" s="3">
        <v>2023</v>
      </c>
      <c r="C79" s="3" t="s">
        <v>292</v>
      </c>
      <c r="D79" s="3">
        <v>3</v>
      </c>
      <c r="E79" s="3" t="s">
        <v>302</v>
      </c>
      <c r="F79" s="3" t="s">
        <v>299</v>
      </c>
      <c r="G79" s="36">
        <v>0</v>
      </c>
    </row>
    <row r="80" spans="1:7" x14ac:dyDescent="0.25">
      <c r="A80" s="34">
        <v>45003</v>
      </c>
      <c r="B80" s="3">
        <v>2023</v>
      </c>
      <c r="C80" s="3" t="s">
        <v>292</v>
      </c>
      <c r="D80" s="3">
        <v>3</v>
      </c>
      <c r="E80" s="3" t="s">
        <v>302</v>
      </c>
      <c r="F80" s="3" t="s">
        <v>300</v>
      </c>
      <c r="G80" s="35">
        <v>1</v>
      </c>
    </row>
    <row r="81" spans="1:7" x14ac:dyDescent="0.25">
      <c r="A81" s="34">
        <v>45004</v>
      </c>
      <c r="B81" s="3">
        <v>2023</v>
      </c>
      <c r="C81" s="3" t="s">
        <v>292</v>
      </c>
      <c r="D81" s="3">
        <v>3</v>
      </c>
      <c r="E81" s="3" t="s">
        <v>302</v>
      </c>
      <c r="F81" s="3" t="s">
        <v>294</v>
      </c>
      <c r="G81" s="35">
        <v>1</v>
      </c>
    </row>
    <row r="82" spans="1:7" x14ac:dyDescent="0.25">
      <c r="A82" s="34">
        <v>45005</v>
      </c>
      <c r="B82" s="3">
        <v>2023</v>
      </c>
      <c r="C82" s="3" t="s">
        <v>292</v>
      </c>
      <c r="D82" s="3">
        <v>3</v>
      </c>
      <c r="E82" s="3" t="s">
        <v>302</v>
      </c>
      <c r="F82" s="3" t="s">
        <v>295</v>
      </c>
      <c r="G82" s="36">
        <v>0</v>
      </c>
    </row>
    <row r="83" spans="1:7" x14ac:dyDescent="0.25">
      <c r="A83" s="34">
        <v>45006</v>
      </c>
      <c r="B83" s="3">
        <v>2023</v>
      </c>
      <c r="C83" s="3" t="s">
        <v>292</v>
      </c>
      <c r="D83" s="3">
        <v>3</v>
      </c>
      <c r="E83" s="3" t="s">
        <v>302</v>
      </c>
      <c r="F83" s="3" t="s">
        <v>296</v>
      </c>
      <c r="G83" s="36">
        <v>0</v>
      </c>
    </row>
    <row r="84" spans="1:7" x14ac:dyDescent="0.25">
      <c r="A84" s="34">
        <v>45007</v>
      </c>
      <c r="B84" s="3">
        <v>2023</v>
      </c>
      <c r="C84" s="3" t="s">
        <v>292</v>
      </c>
      <c r="D84" s="3">
        <v>3</v>
      </c>
      <c r="E84" s="3" t="s">
        <v>302</v>
      </c>
      <c r="F84" s="3" t="s">
        <v>297</v>
      </c>
      <c r="G84" s="36">
        <v>0</v>
      </c>
    </row>
    <row r="85" spans="1:7" x14ac:dyDescent="0.25">
      <c r="A85" s="34">
        <v>45008</v>
      </c>
      <c r="B85" s="3">
        <v>2023</v>
      </c>
      <c r="C85" s="3" t="s">
        <v>292</v>
      </c>
      <c r="D85" s="3">
        <v>3</v>
      </c>
      <c r="E85" s="3" t="s">
        <v>302</v>
      </c>
      <c r="F85" s="3" t="s">
        <v>298</v>
      </c>
      <c r="G85" s="36">
        <v>0</v>
      </c>
    </row>
    <row r="86" spans="1:7" x14ac:dyDescent="0.25">
      <c r="A86" s="34">
        <v>45009</v>
      </c>
      <c r="B86" s="3">
        <v>2023</v>
      </c>
      <c r="C86" s="3" t="s">
        <v>292</v>
      </c>
      <c r="D86" s="3">
        <v>3</v>
      </c>
      <c r="E86" s="3" t="s">
        <v>302</v>
      </c>
      <c r="F86" s="3" t="s">
        <v>299</v>
      </c>
      <c r="G86" s="36">
        <v>0</v>
      </c>
    </row>
    <row r="87" spans="1:7" x14ac:dyDescent="0.25">
      <c r="A87" s="34">
        <v>45010</v>
      </c>
      <c r="B87" s="3">
        <v>2023</v>
      </c>
      <c r="C87" s="3" t="s">
        <v>292</v>
      </c>
      <c r="D87" s="3">
        <v>3</v>
      </c>
      <c r="E87" s="3" t="s">
        <v>302</v>
      </c>
      <c r="F87" s="3" t="s">
        <v>300</v>
      </c>
      <c r="G87" s="35">
        <v>1</v>
      </c>
    </row>
    <row r="88" spans="1:7" x14ac:dyDescent="0.25">
      <c r="A88" s="34">
        <v>45011</v>
      </c>
      <c r="B88" s="3">
        <v>2023</v>
      </c>
      <c r="C88" s="3" t="s">
        <v>292</v>
      </c>
      <c r="D88" s="3">
        <v>3</v>
      </c>
      <c r="E88" s="3" t="s">
        <v>302</v>
      </c>
      <c r="F88" s="3" t="s">
        <v>294</v>
      </c>
      <c r="G88" s="35">
        <v>1</v>
      </c>
    </row>
    <row r="89" spans="1:7" x14ac:dyDescent="0.25">
      <c r="A89" s="34">
        <v>45012</v>
      </c>
      <c r="B89" s="3">
        <v>2023</v>
      </c>
      <c r="C89" s="3" t="s">
        <v>292</v>
      </c>
      <c r="D89" s="3">
        <v>3</v>
      </c>
      <c r="E89" s="3" t="s">
        <v>302</v>
      </c>
      <c r="F89" s="3" t="s">
        <v>295</v>
      </c>
      <c r="G89" s="36">
        <v>0</v>
      </c>
    </row>
    <row r="90" spans="1:7" x14ac:dyDescent="0.25">
      <c r="A90" s="34">
        <v>45013</v>
      </c>
      <c r="B90" s="3">
        <v>2023</v>
      </c>
      <c r="C90" s="3" t="s">
        <v>292</v>
      </c>
      <c r="D90" s="3">
        <v>3</v>
      </c>
      <c r="E90" s="3" t="s">
        <v>302</v>
      </c>
      <c r="F90" s="3" t="s">
        <v>296</v>
      </c>
      <c r="G90" s="36">
        <v>0</v>
      </c>
    </row>
    <row r="91" spans="1:7" x14ac:dyDescent="0.25">
      <c r="A91" s="34">
        <v>45014</v>
      </c>
      <c r="B91" s="3">
        <v>2023</v>
      </c>
      <c r="C91" s="3" t="s">
        <v>292</v>
      </c>
      <c r="D91" s="3">
        <v>3</v>
      </c>
      <c r="E91" s="3" t="s">
        <v>302</v>
      </c>
      <c r="F91" s="3" t="s">
        <v>297</v>
      </c>
      <c r="G91" s="36">
        <v>0</v>
      </c>
    </row>
    <row r="92" spans="1:7" x14ac:dyDescent="0.25">
      <c r="A92" s="34">
        <v>45015</v>
      </c>
      <c r="B92" s="3">
        <v>2023</v>
      </c>
      <c r="C92" s="3" t="s">
        <v>292</v>
      </c>
      <c r="D92" s="3">
        <v>3</v>
      </c>
      <c r="E92" s="3" t="s">
        <v>302</v>
      </c>
      <c r="F92" s="3" t="s">
        <v>298</v>
      </c>
      <c r="G92" s="36">
        <v>0</v>
      </c>
    </row>
    <row r="93" spans="1:7" x14ac:dyDescent="0.25">
      <c r="A93" s="34">
        <v>45016</v>
      </c>
      <c r="B93" s="3">
        <v>2023</v>
      </c>
      <c r="C93" s="3" t="s">
        <v>292</v>
      </c>
      <c r="D93" s="3">
        <v>3</v>
      </c>
      <c r="E93" s="3" t="s">
        <v>302</v>
      </c>
      <c r="F93" s="3" t="s">
        <v>299</v>
      </c>
      <c r="G93" s="36">
        <v>0</v>
      </c>
    </row>
    <row r="94" spans="1:7" x14ac:dyDescent="0.25">
      <c r="A94" s="34">
        <v>45017</v>
      </c>
      <c r="B94" s="3">
        <v>2023</v>
      </c>
      <c r="C94" s="3" t="s">
        <v>303</v>
      </c>
      <c r="D94" s="3">
        <v>4</v>
      </c>
      <c r="E94" s="3" t="s">
        <v>304</v>
      </c>
      <c r="F94" s="3" t="s">
        <v>300</v>
      </c>
      <c r="G94" s="35">
        <v>1</v>
      </c>
    </row>
    <row r="95" spans="1:7" x14ac:dyDescent="0.25">
      <c r="A95" s="34">
        <v>45018</v>
      </c>
      <c r="B95" s="3">
        <v>2023</v>
      </c>
      <c r="C95" s="3" t="s">
        <v>303</v>
      </c>
      <c r="D95" s="3">
        <v>4</v>
      </c>
      <c r="E95" s="3" t="s">
        <v>304</v>
      </c>
      <c r="F95" s="3" t="s">
        <v>294</v>
      </c>
      <c r="G95" s="35">
        <v>1</v>
      </c>
    </row>
    <row r="96" spans="1:7" x14ac:dyDescent="0.25">
      <c r="A96" s="34">
        <v>45019</v>
      </c>
      <c r="B96" s="3">
        <v>2023</v>
      </c>
      <c r="C96" s="3" t="s">
        <v>303</v>
      </c>
      <c r="D96" s="3">
        <v>4</v>
      </c>
      <c r="E96" s="3" t="s">
        <v>304</v>
      </c>
      <c r="F96" s="3" t="s">
        <v>295</v>
      </c>
      <c r="G96" s="36">
        <v>0</v>
      </c>
    </row>
    <row r="97" spans="1:7" x14ac:dyDescent="0.25">
      <c r="A97" s="34">
        <v>45020</v>
      </c>
      <c r="B97" s="3">
        <v>2023</v>
      </c>
      <c r="C97" s="3" t="s">
        <v>303</v>
      </c>
      <c r="D97" s="3">
        <v>4</v>
      </c>
      <c r="E97" s="3" t="s">
        <v>304</v>
      </c>
      <c r="F97" s="3" t="s">
        <v>296</v>
      </c>
      <c r="G97" s="36">
        <v>0</v>
      </c>
    </row>
    <row r="98" spans="1:7" x14ac:dyDescent="0.25">
      <c r="A98" s="34">
        <v>45021</v>
      </c>
      <c r="B98" s="3">
        <v>2023</v>
      </c>
      <c r="C98" s="3" t="s">
        <v>303</v>
      </c>
      <c r="D98" s="3">
        <v>4</v>
      </c>
      <c r="E98" s="3" t="s">
        <v>304</v>
      </c>
      <c r="F98" s="3" t="s">
        <v>297</v>
      </c>
      <c r="G98" s="36">
        <v>0</v>
      </c>
    </row>
    <row r="99" spans="1:7" x14ac:dyDescent="0.25">
      <c r="A99" s="34">
        <v>45022</v>
      </c>
      <c r="B99" s="3">
        <v>2023</v>
      </c>
      <c r="C99" s="3" t="s">
        <v>303</v>
      </c>
      <c r="D99" s="3">
        <v>4</v>
      </c>
      <c r="E99" s="3" t="s">
        <v>304</v>
      </c>
      <c r="F99" s="3" t="s">
        <v>298</v>
      </c>
      <c r="G99" s="36">
        <v>0</v>
      </c>
    </row>
    <row r="100" spans="1:7" x14ac:dyDescent="0.25">
      <c r="A100" s="34">
        <v>45023</v>
      </c>
      <c r="B100" s="3">
        <v>2023</v>
      </c>
      <c r="C100" s="3" t="s">
        <v>303</v>
      </c>
      <c r="D100" s="3">
        <v>4</v>
      </c>
      <c r="E100" s="3" t="s">
        <v>304</v>
      </c>
      <c r="F100" s="3" t="s">
        <v>299</v>
      </c>
      <c r="G100" s="36">
        <v>0</v>
      </c>
    </row>
    <row r="101" spans="1:7" x14ac:dyDescent="0.25">
      <c r="A101" s="34">
        <v>45024</v>
      </c>
      <c r="B101" s="3">
        <v>2023</v>
      </c>
      <c r="C101" s="3" t="s">
        <v>303</v>
      </c>
      <c r="D101" s="3">
        <v>4</v>
      </c>
      <c r="E101" s="3" t="s">
        <v>304</v>
      </c>
      <c r="F101" s="3" t="s">
        <v>300</v>
      </c>
      <c r="G101" s="35">
        <v>1</v>
      </c>
    </row>
    <row r="102" spans="1:7" x14ac:dyDescent="0.25">
      <c r="A102" s="34">
        <v>45025</v>
      </c>
      <c r="B102" s="3">
        <v>2023</v>
      </c>
      <c r="C102" s="3" t="s">
        <v>303</v>
      </c>
      <c r="D102" s="3">
        <v>4</v>
      </c>
      <c r="E102" s="3" t="s">
        <v>304</v>
      </c>
      <c r="F102" s="3" t="s">
        <v>294</v>
      </c>
      <c r="G102" s="35">
        <v>1</v>
      </c>
    </row>
    <row r="103" spans="1:7" x14ac:dyDescent="0.25">
      <c r="A103" s="34">
        <v>45026</v>
      </c>
      <c r="B103" s="3">
        <v>2023</v>
      </c>
      <c r="C103" s="3" t="s">
        <v>303</v>
      </c>
      <c r="D103" s="3">
        <v>4</v>
      </c>
      <c r="E103" s="3" t="s">
        <v>304</v>
      </c>
      <c r="F103" s="3" t="s">
        <v>295</v>
      </c>
      <c r="G103" s="36">
        <v>0</v>
      </c>
    </row>
    <row r="104" spans="1:7" x14ac:dyDescent="0.25">
      <c r="A104" s="34">
        <v>45027</v>
      </c>
      <c r="B104" s="3">
        <v>2023</v>
      </c>
      <c r="C104" s="3" t="s">
        <v>303</v>
      </c>
      <c r="D104" s="3">
        <v>4</v>
      </c>
      <c r="E104" s="3" t="s">
        <v>304</v>
      </c>
      <c r="F104" s="3" t="s">
        <v>296</v>
      </c>
      <c r="G104" s="36">
        <v>0</v>
      </c>
    </row>
    <row r="105" spans="1:7" x14ac:dyDescent="0.25">
      <c r="A105" s="34">
        <v>45028</v>
      </c>
      <c r="B105" s="3">
        <v>2023</v>
      </c>
      <c r="C105" s="3" t="s">
        <v>303</v>
      </c>
      <c r="D105" s="3">
        <v>4</v>
      </c>
      <c r="E105" s="3" t="s">
        <v>304</v>
      </c>
      <c r="F105" s="3" t="s">
        <v>297</v>
      </c>
      <c r="G105" s="36">
        <v>0</v>
      </c>
    </row>
    <row r="106" spans="1:7" x14ac:dyDescent="0.25">
      <c r="A106" s="34">
        <v>45029</v>
      </c>
      <c r="B106" s="3">
        <v>2023</v>
      </c>
      <c r="C106" s="3" t="s">
        <v>303</v>
      </c>
      <c r="D106" s="3">
        <v>4</v>
      </c>
      <c r="E106" s="3" t="s">
        <v>304</v>
      </c>
      <c r="F106" s="3" t="s">
        <v>298</v>
      </c>
      <c r="G106" s="36">
        <v>0</v>
      </c>
    </row>
    <row r="107" spans="1:7" x14ac:dyDescent="0.25">
      <c r="A107" s="34">
        <v>45030</v>
      </c>
      <c r="B107" s="3">
        <v>2023</v>
      </c>
      <c r="C107" s="3" t="s">
        <v>303</v>
      </c>
      <c r="D107" s="3">
        <v>4</v>
      </c>
      <c r="E107" s="3" t="s">
        <v>304</v>
      </c>
      <c r="F107" s="3" t="s">
        <v>299</v>
      </c>
      <c r="G107" s="36">
        <v>0</v>
      </c>
    </row>
    <row r="108" spans="1:7" x14ac:dyDescent="0.25">
      <c r="A108" s="34">
        <v>45031</v>
      </c>
      <c r="B108" s="3">
        <v>2023</v>
      </c>
      <c r="C108" s="3" t="s">
        <v>303</v>
      </c>
      <c r="D108" s="3">
        <v>4</v>
      </c>
      <c r="E108" s="3" t="s">
        <v>304</v>
      </c>
      <c r="F108" s="3" t="s">
        <v>300</v>
      </c>
      <c r="G108" s="35">
        <v>1</v>
      </c>
    </row>
    <row r="109" spans="1:7" x14ac:dyDescent="0.25">
      <c r="A109" s="34">
        <v>45032</v>
      </c>
      <c r="B109" s="3">
        <v>2023</v>
      </c>
      <c r="C109" s="3" t="s">
        <v>303</v>
      </c>
      <c r="D109" s="3">
        <v>4</v>
      </c>
      <c r="E109" s="3" t="s">
        <v>304</v>
      </c>
      <c r="F109" s="3" t="s">
        <v>294</v>
      </c>
      <c r="G109" s="35">
        <v>1</v>
      </c>
    </row>
    <row r="110" spans="1:7" x14ac:dyDescent="0.25">
      <c r="A110" s="34">
        <v>45033</v>
      </c>
      <c r="B110" s="3">
        <v>2023</v>
      </c>
      <c r="C110" s="3" t="s">
        <v>303</v>
      </c>
      <c r="D110" s="3">
        <v>4</v>
      </c>
      <c r="E110" s="3" t="s">
        <v>304</v>
      </c>
      <c r="F110" s="3" t="s">
        <v>295</v>
      </c>
      <c r="G110" s="36">
        <v>0</v>
      </c>
    </row>
    <row r="111" spans="1:7" x14ac:dyDescent="0.25">
      <c r="A111" s="34">
        <v>45034</v>
      </c>
      <c r="B111" s="3">
        <v>2023</v>
      </c>
      <c r="C111" s="3" t="s">
        <v>303</v>
      </c>
      <c r="D111" s="3">
        <v>4</v>
      </c>
      <c r="E111" s="3" t="s">
        <v>304</v>
      </c>
      <c r="F111" s="3" t="s">
        <v>296</v>
      </c>
      <c r="G111" s="36">
        <v>0</v>
      </c>
    </row>
    <row r="112" spans="1:7" x14ac:dyDescent="0.25">
      <c r="A112" s="34">
        <v>45035</v>
      </c>
      <c r="B112" s="3">
        <v>2023</v>
      </c>
      <c r="C112" s="3" t="s">
        <v>303</v>
      </c>
      <c r="D112" s="3">
        <v>4</v>
      </c>
      <c r="E112" s="3" t="s">
        <v>304</v>
      </c>
      <c r="F112" s="3" t="s">
        <v>297</v>
      </c>
      <c r="G112" s="36">
        <v>0</v>
      </c>
    </row>
    <row r="113" spans="1:7" x14ac:dyDescent="0.25">
      <c r="A113" s="34">
        <v>45036</v>
      </c>
      <c r="B113" s="3">
        <v>2023</v>
      </c>
      <c r="C113" s="3" t="s">
        <v>303</v>
      </c>
      <c r="D113" s="3">
        <v>4</v>
      </c>
      <c r="E113" s="3" t="s">
        <v>304</v>
      </c>
      <c r="F113" s="3" t="s">
        <v>298</v>
      </c>
      <c r="G113" s="36">
        <v>0</v>
      </c>
    </row>
    <row r="114" spans="1:7" x14ac:dyDescent="0.25">
      <c r="A114" s="34">
        <v>45037</v>
      </c>
      <c r="B114" s="3">
        <v>2023</v>
      </c>
      <c r="C114" s="3" t="s">
        <v>303</v>
      </c>
      <c r="D114" s="3">
        <v>4</v>
      </c>
      <c r="E114" s="3" t="s">
        <v>304</v>
      </c>
      <c r="F114" s="3" t="s">
        <v>299</v>
      </c>
      <c r="G114" s="36">
        <v>0</v>
      </c>
    </row>
    <row r="115" spans="1:7" x14ac:dyDescent="0.25">
      <c r="A115" s="34">
        <v>45038</v>
      </c>
      <c r="B115" s="3">
        <v>2023</v>
      </c>
      <c r="C115" s="3" t="s">
        <v>303</v>
      </c>
      <c r="D115" s="3">
        <v>4</v>
      </c>
      <c r="E115" s="3" t="s">
        <v>304</v>
      </c>
      <c r="F115" s="3" t="s">
        <v>300</v>
      </c>
      <c r="G115" s="35">
        <v>1</v>
      </c>
    </row>
    <row r="116" spans="1:7" x14ac:dyDescent="0.25">
      <c r="A116" s="34">
        <v>45039</v>
      </c>
      <c r="B116" s="3">
        <v>2023</v>
      </c>
      <c r="C116" s="3" t="s">
        <v>303</v>
      </c>
      <c r="D116" s="3">
        <v>4</v>
      </c>
      <c r="E116" s="3" t="s">
        <v>304</v>
      </c>
      <c r="F116" s="3" t="s">
        <v>294</v>
      </c>
      <c r="G116" s="35">
        <v>1</v>
      </c>
    </row>
    <row r="117" spans="1:7" x14ac:dyDescent="0.25">
      <c r="A117" s="34">
        <v>45040</v>
      </c>
      <c r="B117" s="3">
        <v>2023</v>
      </c>
      <c r="C117" s="3" t="s">
        <v>303</v>
      </c>
      <c r="D117" s="3">
        <v>4</v>
      </c>
      <c r="E117" s="3" t="s">
        <v>304</v>
      </c>
      <c r="F117" s="3" t="s">
        <v>295</v>
      </c>
      <c r="G117" s="36">
        <v>0</v>
      </c>
    </row>
    <row r="118" spans="1:7" x14ac:dyDescent="0.25">
      <c r="A118" s="34">
        <v>45041</v>
      </c>
      <c r="B118" s="3">
        <v>2023</v>
      </c>
      <c r="C118" s="3" t="s">
        <v>303</v>
      </c>
      <c r="D118" s="3">
        <v>4</v>
      </c>
      <c r="E118" s="3" t="s">
        <v>304</v>
      </c>
      <c r="F118" s="3" t="s">
        <v>296</v>
      </c>
      <c r="G118" s="36">
        <v>0</v>
      </c>
    </row>
    <row r="119" spans="1:7" x14ac:dyDescent="0.25">
      <c r="A119" s="34">
        <v>45042</v>
      </c>
      <c r="B119" s="3">
        <v>2023</v>
      </c>
      <c r="C119" s="3" t="s">
        <v>303</v>
      </c>
      <c r="D119" s="3">
        <v>4</v>
      </c>
      <c r="E119" s="3" t="s">
        <v>304</v>
      </c>
      <c r="F119" s="3" t="s">
        <v>297</v>
      </c>
      <c r="G119" s="36">
        <v>0</v>
      </c>
    </row>
    <row r="120" spans="1:7" x14ac:dyDescent="0.25">
      <c r="A120" s="34">
        <v>45043</v>
      </c>
      <c r="B120" s="3">
        <v>2023</v>
      </c>
      <c r="C120" s="3" t="s">
        <v>303</v>
      </c>
      <c r="D120" s="3">
        <v>4</v>
      </c>
      <c r="E120" s="3" t="s">
        <v>304</v>
      </c>
      <c r="F120" s="3" t="s">
        <v>298</v>
      </c>
      <c r="G120" s="36">
        <v>0</v>
      </c>
    </row>
    <row r="121" spans="1:7" x14ac:dyDescent="0.25">
      <c r="A121" s="34">
        <v>45044</v>
      </c>
      <c r="B121" s="3">
        <v>2023</v>
      </c>
      <c r="C121" s="3" t="s">
        <v>303</v>
      </c>
      <c r="D121" s="3">
        <v>4</v>
      </c>
      <c r="E121" s="3" t="s">
        <v>304</v>
      </c>
      <c r="F121" s="3" t="s">
        <v>299</v>
      </c>
      <c r="G121" s="36">
        <v>0</v>
      </c>
    </row>
    <row r="122" spans="1:7" x14ac:dyDescent="0.25">
      <c r="A122" s="34">
        <v>45045</v>
      </c>
      <c r="B122" s="3">
        <v>2023</v>
      </c>
      <c r="C122" s="3" t="s">
        <v>303</v>
      </c>
      <c r="D122" s="3">
        <v>4</v>
      </c>
      <c r="E122" s="3" t="s">
        <v>304</v>
      </c>
      <c r="F122" s="3" t="s">
        <v>300</v>
      </c>
      <c r="G122" s="35">
        <v>1</v>
      </c>
    </row>
    <row r="123" spans="1:7" x14ac:dyDescent="0.25">
      <c r="A123" s="34">
        <v>45046</v>
      </c>
      <c r="B123" s="3">
        <v>2023</v>
      </c>
      <c r="C123" s="3" t="s">
        <v>303</v>
      </c>
      <c r="D123" s="3">
        <v>4</v>
      </c>
      <c r="E123" s="3" t="s">
        <v>304</v>
      </c>
      <c r="F123" s="3" t="s">
        <v>294</v>
      </c>
      <c r="G123" s="35">
        <v>1</v>
      </c>
    </row>
    <row r="124" spans="1:7" x14ac:dyDescent="0.25">
      <c r="A124" s="34">
        <v>45047</v>
      </c>
      <c r="B124" s="3">
        <v>2023</v>
      </c>
      <c r="C124" s="3" t="s">
        <v>303</v>
      </c>
      <c r="D124" s="3">
        <v>5</v>
      </c>
      <c r="E124" s="3" t="s">
        <v>305</v>
      </c>
      <c r="F124" s="3" t="s">
        <v>295</v>
      </c>
      <c r="G124" s="36">
        <v>0</v>
      </c>
    </row>
    <row r="125" spans="1:7" x14ac:dyDescent="0.25">
      <c r="A125" s="34">
        <v>45048</v>
      </c>
      <c r="B125" s="3">
        <v>2023</v>
      </c>
      <c r="C125" s="3" t="s">
        <v>303</v>
      </c>
      <c r="D125" s="3">
        <v>5</v>
      </c>
      <c r="E125" s="3" t="s">
        <v>305</v>
      </c>
      <c r="F125" s="3" t="s">
        <v>296</v>
      </c>
      <c r="G125" s="36">
        <v>0</v>
      </c>
    </row>
    <row r="126" spans="1:7" x14ac:dyDescent="0.25">
      <c r="A126" s="34">
        <v>45049</v>
      </c>
      <c r="B126" s="3">
        <v>2023</v>
      </c>
      <c r="C126" s="3" t="s">
        <v>303</v>
      </c>
      <c r="D126" s="3">
        <v>5</v>
      </c>
      <c r="E126" s="3" t="s">
        <v>305</v>
      </c>
      <c r="F126" s="3" t="s">
        <v>297</v>
      </c>
      <c r="G126" s="36">
        <v>0</v>
      </c>
    </row>
    <row r="127" spans="1:7" x14ac:dyDescent="0.25">
      <c r="A127" s="34">
        <v>45050</v>
      </c>
      <c r="B127" s="3">
        <v>2023</v>
      </c>
      <c r="C127" s="3" t="s">
        <v>303</v>
      </c>
      <c r="D127" s="3">
        <v>5</v>
      </c>
      <c r="E127" s="3" t="s">
        <v>305</v>
      </c>
      <c r="F127" s="3" t="s">
        <v>298</v>
      </c>
      <c r="G127" s="36">
        <v>0</v>
      </c>
    </row>
    <row r="128" spans="1:7" x14ac:dyDescent="0.25">
      <c r="A128" s="34">
        <v>45051</v>
      </c>
      <c r="B128" s="3">
        <v>2023</v>
      </c>
      <c r="C128" s="3" t="s">
        <v>303</v>
      </c>
      <c r="D128" s="3">
        <v>5</v>
      </c>
      <c r="E128" s="3" t="s">
        <v>305</v>
      </c>
      <c r="F128" s="3" t="s">
        <v>299</v>
      </c>
      <c r="G128" s="36">
        <v>0</v>
      </c>
    </row>
    <row r="129" spans="1:7" x14ac:dyDescent="0.25">
      <c r="A129" s="34">
        <v>45052</v>
      </c>
      <c r="B129" s="3">
        <v>2023</v>
      </c>
      <c r="C129" s="3" t="s">
        <v>303</v>
      </c>
      <c r="D129" s="3">
        <v>5</v>
      </c>
      <c r="E129" s="3" t="s">
        <v>305</v>
      </c>
      <c r="F129" s="3" t="s">
        <v>300</v>
      </c>
      <c r="G129" s="35">
        <v>1</v>
      </c>
    </row>
    <row r="130" spans="1:7" x14ac:dyDescent="0.25">
      <c r="A130" s="34">
        <v>45053</v>
      </c>
      <c r="B130" s="3">
        <v>2023</v>
      </c>
      <c r="C130" s="3" t="s">
        <v>303</v>
      </c>
      <c r="D130" s="3">
        <v>5</v>
      </c>
      <c r="E130" s="3" t="s">
        <v>305</v>
      </c>
      <c r="F130" s="3" t="s">
        <v>294</v>
      </c>
      <c r="G130" s="35">
        <v>1</v>
      </c>
    </row>
    <row r="131" spans="1:7" x14ac:dyDescent="0.25">
      <c r="A131" s="34">
        <v>45054</v>
      </c>
      <c r="B131" s="3">
        <v>2023</v>
      </c>
      <c r="C131" s="3" t="s">
        <v>303</v>
      </c>
      <c r="D131" s="3">
        <v>5</v>
      </c>
      <c r="E131" s="3" t="s">
        <v>305</v>
      </c>
      <c r="F131" s="3" t="s">
        <v>295</v>
      </c>
      <c r="G131" s="36">
        <v>0</v>
      </c>
    </row>
    <row r="132" spans="1:7" x14ac:dyDescent="0.25">
      <c r="A132" s="34">
        <v>45055</v>
      </c>
      <c r="B132" s="3">
        <v>2023</v>
      </c>
      <c r="C132" s="3" t="s">
        <v>303</v>
      </c>
      <c r="D132" s="3">
        <v>5</v>
      </c>
      <c r="E132" s="3" t="s">
        <v>305</v>
      </c>
      <c r="F132" s="3" t="s">
        <v>296</v>
      </c>
      <c r="G132" s="36">
        <v>0</v>
      </c>
    </row>
    <row r="133" spans="1:7" x14ac:dyDescent="0.25">
      <c r="A133" s="34">
        <v>45056</v>
      </c>
      <c r="B133" s="3">
        <v>2023</v>
      </c>
      <c r="C133" s="3" t="s">
        <v>303</v>
      </c>
      <c r="D133" s="3">
        <v>5</v>
      </c>
      <c r="E133" s="3" t="s">
        <v>305</v>
      </c>
      <c r="F133" s="3" t="s">
        <v>297</v>
      </c>
      <c r="G133" s="36">
        <v>0</v>
      </c>
    </row>
    <row r="134" spans="1:7" x14ac:dyDescent="0.25">
      <c r="A134" s="34">
        <v>45057</v>
      </c>
      <c r="B134" s="3">
        <v>2023</v>
      </c>
      <c r="C134" s="3" t="s">
        <v>303</v>
      </c>
      <c r="D134" s="3">
        <v>5</v>
      </c>
      <c r="E134" s="3" t="s">
        <v>305</v>
      </c>
      <c r="F134" s="3" t="s">
        <v>298</v>
      </c>
      <c r="G134" s="36">
        <v>0</v>
      </c>
    </row>
    <row r="135" spans="1:7" x14ac:dyDescent="0.25">
      <c r="A135" s="34">
        <v>45058</v>
      </c>
      <c r="B135" s="3">
        <v>2023</v>
      </c>
      <c r="C135" s="3" t="s">
        <v>303</v>
      </c>
      <c r="D135" s="3">
        <v>5</v>
      </c>
      <c r="E135" s="3" t="s">
        <v>305</v>
      </c>
      <c r="F135" s="3" t="s">
        <v>299</v>
      </c>
      <c r="G135" s="36">
        <v>0</v>
      </c>
    </row>
    <row r="136" spans="1:7" x14ac:dyDescent="0.25">
      <c r="A136" s="34">
        <v>45059</v>
      </c>
      <c r="B136" s="3">
        <v>2023</v>
      </c>
      <c r="C136" s="3" t="s">
        <v>303</v>
      </c>
      <c r="D136" s="3">
        <v>5</v>
      </c>
      <c r="E136" s="3" t="s">
        <v>305</v>
      </c>
      <c r="F136" s="3" t="s">
        <v>300</v>
      </c>
      <c r="G136" s="35">
        <v>1</v>
      </c>
    </row>
    <row r="137" spans="1:7" x14ac:dyDescent="0.25">
      <c r="A137" s="34">
        <v>45060</v>
      </c>
      <c r="B137" s="3">
        <v>2023</v>
      </c>
      <c r="C137" s="3" t="s">
        <v>303</v>
      </c>
      <c r="D137" s="3">
        <v>5</v>
      </c>
      <c r="E137" s="3" t="s">
        <v>305</v>
      </c>
      <c r="F137" s="3" t="s">
        <v>294</v>
      </c>
      <c r="G137" s="35">
        <v>1</v>
      </c>
    </row>
    <row r="138" spans="1:7" x14ac:dyDescent="0.25">
      <c r="A138" s="34">
        <v>45061</v>
      </c>
      <c r="B138" s="3">
        <v>2023</v>
      </c>
      <c r="C138" s="3" t="s">
        <v>303</v>
      </c>
      <c r="D138" s="3">
        <v>5</v>
      </c>
      <c r="E138" s="3" t="s">
        <v>305</v>
      </c>
      <c r="F138" s="3" t="s">
        <v>295</v>
      </c>
      <c r="G138" s="36">
        <v>0</v>
      </c>
    </row>
    <row r="139" spans="1:7" x14ac:dyDescent="0.25">
      <c r="A139" s="34">
        <v>45062</v>
      </c>
      <c r="B139" s="3">
        <v>2023</v>
      </c>
      <c r="C139" s="3" t="s">
        <v>303</v>
      </c>
      <c r="D139" s="3">
        <v>5</v>
      </c>
      <c r="E139" s="3" t="s">
        <v>305</v>
      </c>
      <c r="F139" s="3" t="s">
        <v>296</v>
      </c>
      <c r="G139" s="36">
        <v>0</v>
      </c>
    </row>
    <row r="140" spans="1:7" x14ac:dyDescent="0.25">
      <c r="A140" s="34">
        <v>45063</v>
      </c>
      <c r="B140" s="3">
        <v>2023</v>
      </c>
      <c r="C140" s="3" t="s">
        <v>303</v>
      </c>
      <c r="D140" s="3">
        <v>5</v>
      </c>
      <c r="E140" s="3" t="s">
        <v>305</v>
      </c>
      <c r="F140" s="3" t="s">
        <v>297</v>
      </c>
      <c r="G140" s="36">
        <v>0</v>
      </c>
    </row>
    <row r="141" spans="1:7" x14ac:dyDescent="0.25">
      <c r="A141" s="34">
        <v>45064</v>
      </c>
      <c r="B141" s="3">
        <v>2023</v>
      </c>
      <c r="C141" s="3" t="s">
        <v>303</v>
      </c>
      <c r="D141" s="3">
        <v>5</v>
      </c>
      <c r="E141" s="3" t="s">
        <v>305</v>
      </c>
      <c r="F141" s="3" t="s">
        <v>298</v>
      </c>
      <c r="G141" s="36">
        <v>0</v>
      </c>
    </row>
    <row r="142" spans="1:7" x14ac:dyDescent="0.25">
      <c r="A142" s="34">
        <v>45065</v>
      </c>
      <c r="B142" s="3">
        <v>2023</v>
      </c>
      <c r="C142" s="3" t="s">
        <v>303</v>
      </c>
      <c r="D142" s="3">
        <v>5</v>
      </c>
      <c r="E142" s="3" t="s">
        <v>305</v>
      </c>
      <c r="F142" s="3" t="s">
        <v>299</v>
      </c>
      <c r="G142" s="36">
        <v>0</v>
      </c>
    </row>
    <row r="143" spans="1:7" x14ac:dyDescent="0.25">
      <c r="A143" s="34">
        <v>45066</v>
      </c>
      <c r="B143" s="3">
        <v>2023</v>
      </c>
      <c r="C143" s="3" t="s">
        <v>303</v>
      </c>
      <c r="D143" s="3">
        <v>5</v>
      </c>
      <c r="E143" s="3" t="s">
        <v>305</v>
      </c>
      <c r="F143" s="3" t="s">
        <v>300</v>
      </c>
      <c r="G143" s="35">
        <v>1</v>
      </c>
    </row>
    <row r="144" spans="1:7" x14ac:dyDescent="0.25">
      <c r="A144" s="34">
        <v>45067</v>
      </c>
      <c r="B144" s="3">
        <v>2023</v>
      </c>
      <c r="C144" s="3" t="s">
        <v>303</v>
      </c>
      <c r="D144" s="3">
        <v>5</v>
      </c>
      <c r="E144" s="3" t="s">
        <v>305</v>
      </c>
      <c r="F144" s="3" t="s">
        <v>294</v>
      </c>
      <c r="G144" s="35">
        <v>1</v>
      </c>
    </row>
    <row r="145" spans="1:7" x14ac:dyDescent="0.25">
      <c r="A145" s="34">
        <v>45068</v>
      </c>
      <c r="B145" s="3">
        <v>2023</v>
      </c>
      <c r="C145" s="3" t="s">
        <v>303</v>
      </c>
      <c r="D145" s="3">
        <v>5</v>
      </c>
      <c r="E145" s="3" t="s">
        <v>305</v>
      </c>
      <c r="F145" s="3" t="s">
        <v>295</v>
      </c>
      <c r="G145" s="36">
        <v>0</v>
      </c>
    </row>
    <row r="146" spans="1:7" x14ac:dyDescent="0.25">
      <c r="A146" s="34">
        <v>45069</v>
      </c>
      <c r="B146" s="3">
        <v>2023</v>
      </c>
      <c r="C146" s="3" t="s">
        <v>303</v>
      </c>
      <c r="D146" s="3">
        <v>5</v>
      </c>
      <c r="E146" s="3" t="s">
        <v>305</v>
      </c>
      <c r="F146" s="3" t="s">
        <v>296</v>
      </c>
      <c r="G146" s="36">
        <v>0</v>
      </c>
    </row>
    <row r="147" spans="1:7" x14ac:dyDescent="0.25">
      <c r="A147" s="34">
        <v>45070</v>
      </c>
      <c r="B147" s="3">
        <v>2023</v>
      </c>
      <c r="C147" s="3" t="s">
        <v>303</v>
      </c>
      <c r="D147" s="3">
        <v>5</v>
      </c>
      <c r="E147" s="3" t="s">
        <v>305</v>
      </c>
      <c r="F147" s="3" t="s">
        <v>297</v>
      </c>
      <c r="G147" s="36">
        <v>0</v>
      </c>
    </row>
    <row r="148" spans="1:7" x14ac:dyDescent="0.25">
      <c r="A148" s="34">
        <v>45071</v>
      </c>
      <c r="B148" s="3">
        <v>2023</v>
      </c>
      <c r="C148" s="3" t="s">
        <v>303</v>
      </c>
      <c r="D148" s="3">
        <v>5</v>
      </c>
      <c r="E148" s="3" t="s">
        <v>305</v>
      </c>
      <c r="F148" s="3" t="s">
        <v>298</v>
      </c>
      <c r="G148" s="36">
        <v>0</v>
      </c>
    </row>
    <row r="149" spans="1:7" x14ac:dyDescent="0.25">
      <c r="A149" s="34">
        <v>45072</v>
      </c>
      <c r="B149" s="3">
        <v>2023</v>
      </c>
      <c r="C149" s="3" t="s">
        <v>303</v>
      </c>
      <c r="D149" s="3">
        <v>5</v>
      </c>
      <c r="E149" s="3" t="s">
        <v>305</v>
      </c>
      <c r="F149" s="3" t="s">
        <v>299</v>
      </c>
      <c r="G149" s="36">
        <v>0</v>
      </c>
    </row>
    <row r="150" spans="1:7" x14ac:dyDescent="0.25">
      <c r="A150" s="34">
        <v>45073</v>
      </c>
      <c r="B150" s="3">
        <v>2023</v>
      </c>
      <c r="C150" s="3" t="s">
        <v>303</v>
      </c>
      <c r="D150" s="3">
        <v>5</v>
      </c>
      <c r="E150" s="3" t="s">
        <v>305</v>
      </c>
      <c r="F150" s="3" t="s">
        <v>300</v>
      </c>
      <c r="G150" s="35">
        <v>1</v>
      </c>
    </row>
    <row r="151" spans="1:7" x14ac:dyDescent="0.25">
      <c r="A151" s="34">
        <v>45074</v>
      </c>
      <c r="B151" s="3">
        <v>2023</v>
      </c>
      <c r="C151" s="3" t="s">
        <v>303</v>
      </c>
      <c r="D151" s="3">
        <v>5</v>
      </c>
      <c r="E151" s="3" t="s">
        <v>305</v>
      </c>
      <c r="F151" s="3" t="s">
        <v>294</v>
      </c>
      <c r="G151" s="35">
        <v>1</v>
      </c>
    </row>
    <row r="152" spans="1:7" x14ac:dyDescent="0.25">
      <c r="A152" s="34">
        <v>45075</v>
      </c>
      <c r="B152" s="3">
        <v>2023</v>
      </c>
      <c r="C152" s="3" t="s">
        <v>303</v>
      </c>
      <c r="D152" s="3">
        <v>5</v>
      </c>
      <c r="E152" s="3" t="s">
        <v>305</v>
      </c>
      <c r="F152" s="3" t="s">
        <v>295</v>
      </c>
      <c r="G152" s="36">
        <v>0</v>
      </c>
    </row>
    <row r="153" spans="1:7" x14ac:dyDescent="0.25">
      <c r="A153" s="34">
        <v>45076</v>
      </c>
      <c r="B153" s="3">
        <v>2023</v>
      </c>
      <c r="C153" s="3" t="s">
        <v>303</v>
      </c>
      <c r="D153" s="3">
        <v>5</v>
      </c>
      <c r="E153" s="3" t="s">
        <v>305</v>
      </c>
      <c r="F153" s="3" t="s">
        <v>296</v>
      </c>
      <c r="G153" s="36">
        <v>0</v>
      </c>
    </row>
    <row r="154" spans="1:7" x14ac:dyDescent="0.25">
      <c r="A154" s="34">
        <v>45077</v>
      </c>
      <c r="B154" s="3">
        <v>2023</v>
      </c>
      <c r="C154" s="3" t="s">
        <v>303</v>
      </c>
      <c r="D154" s="3">
        <v>5</v>
      </c>
      <c r="E154" s="3" t="s">
        <v>305</v>
      </c>
      <c r="F154" s="3" t="s">
        <v>297</v>
      </c>
      <c r="G154" s="36">
        <v>0</v>
      </c>
    </row>
    <row r="155" spans="1:7" x14ac:dyDescent="0.25">
      <c r="A155" s="34">
        <v>45078</v>
      </c>
      <c r="B155" s="3">
        <v>2023</v>
      </c>
      <c r="C155" s="3" t="s">
        <v>303</v>
      </c>
      <c r="D155" s="3">
        <v>6</v>
      </c>
      <c r="E155" s="3" t="s">
        <v>306</v>
      </c>
      <c r="F155" s="3" t="s">
        <v>298</v>
      </c>
      <c r="G155" s="36">
        <v>0</v>
      </c>
    </row>
    <row r="156" spans="1:7" x14ac:dyDescent="0.25">
      <c r="A156" s="34">
        <v>45079</v>
      </c>
      <c r="B156" s="3">
        <v>2023</v>
      </c>
      <c r="C156" s="3" t="s">
        <v>303</v>
      </c>
      <c r="D156" s="3">
        <v>6</v>
      </c>
      <c r="E156" s="3" t="s">
        <v>306</v>
      </c>
      <c r="F156" s="3" t="s">
        <v>299</v>
      </c>
      <c r="G156" s="36">
        <v>0</v>
      </c>
    </row>
    <row r="157" spans="1:7" x14ac:dyDescent="0.25">
      <c r="A157" s="34">
        <v>45080</v>
      </c>
      <c r="B157" s="3">
        <v>2023</v>
      </c>
      <c r="C157" s="3" t="s">
        <v>303</v>
      </c>
      <c r="D157" s="3">
        <v>6</v>
      </c>
      <c r="E157" s="3" t="s">
        <v>306</v>
      </c>
      <c r="F157" s="3" t="s">
        <v>300</v>
      </c>
      <c r="G157" s="35">
        <v>1</v>
      </c>
    </row>
    <row r="158" spans="1:7" x14ac:dyDescent="0.25">
      <c r="A158" s="34">
        <v>45081</v>
      </c>
      <c r="B158" s="3">
        <v>2023</v>
      </c>
      <c r="C158" s="3" t="s">
        <v>303</v>
      </c>
      <c r="D158" s="3">
        <v>6</v>
      </c>
      <c r="E158" s="3" t="s">
        <v>306</v>
      </c>
      <c r="F158" s="3" t="s">
        <v>294</v>
      </c>
      <c r="G158" s="35">
        <v>1</v>
      </c>
    </row>
    <row r="159" spans="1:7" x14ac:dyDescent="0.25">
      <c r="A159" s="34">
        <v>45082</v>
      </c>
      <c r="B159" s="3">
        <v>2023</v>
      </c>
      <c r="C159" s="3" t="s">
        <v>303</v>
      </c>
      <c r="D159" s="3">
        <v>6</v>
      </c>
      <c r="E159" s="3" t="s">
        <v>306</v>
      </c>
      <c r="F159" s="3" t="s">
        <v>295</v>
      </c>
      <c r="G159" s="36">
        <v>0</v>
      </c>
    </row>
    <row r="160" spans="1:7" x14ac:dyDescent="0.25">
      <c r="A160" s="34">
        <v>45083</v>
      </c>
      <c r="B160" s="3">
        <v>2023</v>
      </c>
      <c r="C160" s="3" t="s">
        <v>303</v>
      </c>
      <c r="D160" s="3">
        <v>6</v>
      </c>
      <c r="E160" s="3" t="s">
        <v>306</v>
      </c>
      <c r="F160" s="3" t="s">
        <v>296</v>
      </c>
      <c r="G160" s="36">
        <v>0</v>
      </c>
    </row>
    <row r="161" spans="1:7" x14ac:dyDescent="0.25">
      <c r="A161" s="34">
        <v>45084</v>
      </c>
      <c r="B161" s="3">
        <v>2023</v>
      </c>
      <c r="C161" s="3" t="s">
        <v>303</v>
      </c>
      <c r="D161" s="3">
        <v>6</v>
      </c>
      <c r="E161" s="3" t="s">
        <v>306</v>
      </c>
      <c r="F161" s="3" t="s">
        <v>297</v>
      </c>
      <c r="G161" s="36">
        <v>0</v>
      </c>
    </row>
    <row r="162" spans="1:7" x14ac:dyDescent="0.25">
      <c r="A162" s="34">
        <v>45085</v>
      </c>
      <c r="B162" s="3">
        <v>2023</v>
      </c>
      <c r="C162" s="3" t="s">
        <v>303</v>
      </c>
      <c r="D162" s="3">
        <v>6</v>
      </c>
      <c r="E162" s="3" t="s">
        <v>306</v>
      </c>
      <c r="F162" s="3" t="s">
        <v>298</v>
      </c>
      <c r="G162" s="36">
        <v>0</v>
      </c>
    </row>
    <row r="163" spans="1:7" x14ac:dyDescent="0.25">
      <c r="A163" s="34">
        <v>45086</v>
      </c>
      <c r="B163" s="3">
        <v>2023</v>
      </c>
      <c r="C163" s="3" t="s">
        <v>303</v>
      </c>
      <c r="D163" s="3">
        <v>6</v>
      </c>
      <c r="E163" s="3" t="s">
        <v>306</v>
      </c>
      <c r="F163" s="3" t="s">
        <v>299</v>
      </c>
      <c r="G163" s="36">
        <v>0</v>
      </c>
    </row>
    <row r="164" spans="1:7" x14ac:dyDescent="0.25">
      <c r="A164" s="34">
        <v>45087</v>
      </c>
      <c r="B164" s="3">
        <v>2023</v>
      </c>
      <c r="C164" s="3" t="s">
        <v>303</v>
      </c>
      <c r="D164" s="3">
        <v>6</v>
      </c>
      <c r="E164" s="3" t="s">
        <v>306</v>
      </c>
      <c r="F164" s="3" t="s">
        <v>300</v>
      </c>
      <c r="G164" s="35">
        <v>1</v>
      </c>
    </row>
    <row r="165" spans="1:7" x14ac:dyDescent="0.25">
      <c r="A165" s="34">
        <v>45088</v>
      </c>
      <c r="B165" s="3">
        <v>2023</v>
      </c>
      <c r="C165" s="3" t="s">
        <v>303</v>
      </c>
      <c r="D165" s="3">
        <v>6</v>
      </c>
      <c r="E165" s="3" t="s">
        <v>306</v>
      </c>
      <c r="F165" s="3" t="s">
        <v>294</v>
      </c>
      <c r="G165" s="35">
        <v>1</v>
      </c>
    </row>
    <row r="166" spans="1:7" x14ac:dyDescent="0.25">
      <c r="A166" s="34">
        <v>45089</v>
      </c>
      <c r="B166" s="3">
        <v>2023</v>
      </c>
      <c r="C166" s="3" t="s">
        <v>303</v>
      </c>
      <c r="D166" s="3">
        <v>6</v>
      </c>
      <c r="E166" s="3" t="s">
        <v>306</v>
      </c>
      <c r="F166" s="3" t="s">
        <v>295</v>
      </c>
      <c r="G166" s="36">
        <v>0</v>
      </c>
    </row>
    <row r="167" spans="1:7" x14ac:dyDescent="0.25">
      <c r="A167" s="34">
        <v>45090</v>
      </c>
      <c r="B167" s="3">
        <v>2023</v>
      </c>
      <c r="C167" s="3" t="s">
        <v>303</v>
      </c>
      <c r="D167" s="3">
        <v>6</v>
      </c>
      <c r="E167" s="3" t="s">
        <v>306</v>
      </c>
      <c r="F167" s="3" t="s">
        <v>296</v>
      </c>
      <c r="G167" s="36">
        <v>0</v>
      </c>
    </row>
    <row r="168" spans="1:7" x14ac:dyDescent="0.25">
      <c r="A168" s="34">
        <v>45091</v>
      </c>
      <c r="B168" s="3">
        <v>2023</v>
      </c>
      <c r="C168" s="3" t="s">
        <v>303</v>
      </c>
      <c r="D168" s="3">
        <v>6</v>
      </c>
      <c r="E168" s="3" t="s">
        <v>306</v>
      </c>
      <c r="F168" s="3" t="s">
        <v>297</v>
      </c>
      <c r="G168" s="36">
        <v>0</v>
      </c>
    </row>
    <row r="169" spans="1:7" x14ac:dyDescent="0.25">
      <c r="A169" s="34">
        <v>45092</v>
      </c>
      <c r="B169" s="3">
        <v>2023</v>
      </c>
      <c r="C169" s="3" t="s">
        <v>303</v>
      </c>
      <c r="D169" s="3">
        <v>6</v>
      </c>
      <c r="E169" s="3" t="s">
        <v>306</v>
      </c>
      <c r="F169" s="3" t="s">
        <v>298</v>
      </c>
      <c r="G169" s="36">
        <v>0</v>
      </c>
    </row>
    <row r="170" spans="1:7" x14ac:dyDescent="0.25">
      <c r="A170" s="34">
        <v>45093</v>
      </c>
      <c r="B170" s="3">
        <v>2023</v>
      </c>
      <c r="C170" s="3" t="s">
        <v>303</v>
      </c>
      <c r="D170" s="3">
        <v>6</v>
      </c>
      <c r="E170" s="3" t="s">
        <v>306</v>
      </c>
      <c r="F170" s="3" t="s">
        <v>299</v>
      </c>
      <c r="G170" s="36">
        <v>0</v>
      </c>
    </row>
    <row r="171" spans="1:7" x14ac:dyDescent="0.25">
      <c r="A171" s="34">
        <v>45094</v>
      </c>
      <c r="B171" s="3">
        <v>2023</v>
      </c>
      <c r="C171" s="3" t="s">
        <v>303</v>
      </c>
      <c r="D171" s="3">
        <v>6</v>
      </c>
      <c r="E171" s="3" t="s">
        <v>306</v>
      </c>
      <c r="F171" s="3" t="s">
        <v>300</v>
      </c>
      <c r="G171" s="35">
        <v>1</v>
      </c>
    </row>
    <row r="172" spans="1:7" x14ac:dyDescent="0.25">
      <c r="A172" s="34">
        <v>45095</v>
      </c>
      <c r="B172" s="3">
        <v>2023</v>
      </c>
      <c r="C172" s="3" t="s">
        <v>303</v>
      </c>
      <c r="D172" s="3">
        <v>6</v>
      </c>
      <c r="E172" s="3" t="s">
        <v>306</v>
      </c>
      <c r="F172" s="3" t="s">
        <v>294</v>
      </c>
      <c r="G172" s="35">
        <v>1</v>
      </c>
    </row>
    <row r="173" spans="1:7" x14ac:dyDescent="0.25">
      <c r="A173" s="34">
        <v>45096</v>
      </c>
      <c r="B173" s="3">
        <v>2023</v>
      </c>
      <c r="C173" s="3" t="s">
        <v>303</v>
      </c>
      <c r="D173" s="3">
        <v>6</v>
      </c>
      <c r="E173" s="3" t="s">
        <v>306</v>
      </c>
      <c r="F173" s="3" t="s">
        <v>295</v>
      </c>
      <c r="G173" s="36">
        <v>0</v>
      </c>
    </row>
    <row r="174" spans="1:7" x14ac:dyDescent="0.25">
      <c r="A174" s="34">
        <v>45097</v>
      </c>
      <c r="B174" s="3">
        <v>2023</v>
      </c>
      <c r="C174" s="3" t="s">
        <v>303</v>
      </c>
      <c r="D174" s="3">
        <v>6</v>
      </c>
      <c r="E174" s="3" t="s">
        <v>306</v>
      </c>
      <c r="F174" s="3" t="s">
        <v>296</v>
      </c>
      <c r="G174" s="36">
        <v>0</v>
      </c>
    </row>
    <row r="175" spans="1:7" x14ac:dyDescent="0.25">
      <c r="A175" s="34">
        <v>45098</v>
      </c>
      <c r="B175" s="3">
        <v>2023</v>
      </c>
      <c r="C175" s="3" t="s">
        <v>303</v>
      </c>
      <c r="D175" s="3">
        <v>6</v>
      </c>
      <c r="E175" s="3" t="s">
        <v>306</v>
      </c>
      <c r="F175" s="3" t="s">
        <v>297</v>
      </c>
      <c r="G175" s="36">
        <v>0</v>
      </c>
    </row>
    <row r="176" spans="1:7" x14ac:dyDescent="0.25">
      <c r="A176" s="34">
        <v>45099</v>
      </c>
      <c r="B176" s="3">
        <v>2023</v>
      </c>
      <c r="C176" s="3" t="s">
        <v>303</v>
      </c>
      <c r="D176" s="3">
        <v>6</v>
      </c>
      <c r="E176" s="3" t="s">
        <v>306</v>
      </c>
      <c r="F176" s="3" t="s">
        <v>298</v>
      </c>
      <c r="G176" s="36">
        <v>0</v>
      </c>
    </row>
    <row r="177" spans="1:7" x14ac:dyDescent="0.25">
      <c r="A177" s="34">
        <v>45100</v>
      </c>
      <c r="B177" s="3">
        <v>2023</v>
      </c>
      <c r="C177" s="3" t="s">
        <v>303</v>
      </c>
      <c r="D177" s="3">
        <v>6</v>
      </c>
      <c r="E177" s="3" t="s">
        <v>306</v>
      </c>
      <c r="F177" s="3" t="s">
        <v>299</v>
      </c>
      <c r="G177" s="36">
        <v>0</v>
      </c>
    </row>
    <row r="178" spans="1:7" x14ac:dyDescent="0.25">
      <c r="A178" s="34">
        <v>45101</v>
      </c>
      <c r="B178" s="3">
        <v>2023</v>
      </c>
      <c r="C178" s="3" t="s">
        <v>303</v>
      </c>
      <c r="D178" s="3">
        <v>6</v>
      </c>
      <c r="E178" s="3" t="s">
        <v>306</v>
      </c>
      <c r="F178" s="3" t="s">
        <v>300</v>
      </c>
      <c r="G178" s="35">
        <v>1</v>
      </c>
    </row>
    <row r="179" spans="1:7" x14ac:dyDescent="0.25">
      <c r="A179" s="34">
        <v>45102</v>
      </c>
      <c r="B179" s="3">
        <v>2023</v>
      </c>
      <c r="C179" s="3" t="s">
        <v>303</v>
      </c>
      <c r="D179" s="3">
        <v>6</v>
      </c>
      <c r="E179" s="3" t="s">
        <v>306</v>
      </c>
      <c r="F179" s="3" t="s">
        <v>294</v>
      </c>
      <c r="G179" s="35">
        <v>1</v>
      </c>
    </row>
    <row r="180" spans="1:7" x14ac:dyDescent="0.25">
      <c r="A180" s="34">
        <v>45103</v>
      </c>
      <c r="B180" s="3">
        <v>2023</v>
      </c>
      <c r="C180" s="3" t="s">
        <v>303</v>
      </c>
      <c r="D180" s="3">
        <v>6</v>
      </c>
      <c r="E180" s="3" t="s">
        <v>306</v>
      </c>
      <c r="F180" s="3" t="s">
        <v>295</v>
      </c>
      <c r="G180" s="36">
        <v>0</v>
      </c>
    </row>
    <row r="181" spans="1:7" x14ac:dyDescent="0.25">
      <c r="A181" s="34">
        <v>45104</v>
      </c>
      <c r="B181" s="3">
        <v>2023</v>
      </c>
      <c r="C181" s="3" t="s">
        <v>303</v>
      </c>
      <c r="D181" s="3">
        <v>6</v>
      </c>
      <c r="E181" s="3" t="s">
        <v>306</v>
      </c>
      <c r="F181" s="3" t="s">
        <v>296</v>
      </c>
      <c r="G181" s="36">
        <v>0</v>
      </c>
    </row>
    <row r="182" spans="1:7" x14ac:dyDescent="0.25">
      <c r="A182" s="34">
        <v>45105</v>
      </c>
      <c r="B182" s="3">
        <v>2023</v>
      </c>
      <c r="C182" s="3" t="s">
        <v>303</v>
      </c>
      <c r="D182" s="3">
        <v>6</v>
      </c>
      <c r="E182" s="3" t="s">
        <v>306</v>
      </c>
      <c r="F182" s="3" t="s">
        <v>297</v>
      </c>
      <c r="G182" s="36">
        <v>0</v>
      </c>
    </row>
    <row r="183" spans="1:7" x14ac:dyDescent="0.25">
      <c r="A183" s="34">
        <v>45106</v>
      </c>
      <c r="B183" s="3">
        <v>2023</v>
      </c>
      <c r="C183" s="3" t="s">
        <v>303</v>
      </c>
      <c r="D183" s="3">
        <v>6</v>
      </c>
      <c r="E183" s="3" t="s">
        <v>306</v>
      </c>
      <c r="F183" s="3" t="s">
        <v>298</v>
      </c>
      <c r="G183" s="36">
        <v>0</v>
      </c>
    </row>
    <row r="184" spans="1:7" x14ac:dyDescent="0.25">
      <c r="A184" s="34">
        <v>45107</v>
      </c>
      <c r="B184" s="3">
        <v>2023</v>
      </c>
      <c r="C184" s="3" t="s">
        <v>303</v>
      </c>
      <c r="D184" s="3">
        <v>6</v>
      </c>
      <c r="E184" s="3" t="s">
        <v>306</v>
      </c>
      <c r="F184" s="3" t="s">
        <v>299</v>
      </c>
      <c r="G184" s="36">
        <v>0</v>
      </c>
    </row>
    <row r="185" spans="1:7" x14ac:dyDescent="0.25">
      <c r="A185" s="34">
        <v>45108</v>
      </c>
      <c r="B185" s="3">
        <v>2023</v>
      </c>
      <c r="C185" s="3" t="s">
        <v>307</v>
      </c>
      <c r="D185" s="3">
        <v>7</v>
      </c>
      <c r="E185" s="3" t="s">
        <v>308</v>
      </c>
      <c r="F185" s="3" t="s">
        <v>300</v>
      </c>
      <c r="G185" s="35">
        <v>1</v>
      </c>
    </row>
    <row r="186" spans="1:7" x14ac:dyDescent="0.25">
      <c r="A186" s="34">
        <v>45109</v>
      </c>
      <c r="B186" s="3">
        <v>2023</v>
      </c>
      <c r="C186" s="3" t="s">
        <v>307</v>
      </c>
      <c r="D186" s="3">
        <v>7</v>
      </c>
      <c r="E186" s="3" t="s">
        <v>308</v>
      </c>
      <c r="F186" s="3" t="s">
        <v>294</v>
      </c>
      <c r="G186" s="35">
        <v>1</v>
      </c>
    </row>
    <row r="187" spans="1:7" x14ac:dyDescent="0.25">
      <c r="A187" s="34">
        <v>45110</v>
      </c>
      <c r="B187" s="3">
        <v>2023</v>
      </c>
      <c r="C187" s="3" t="s">
        <v>307</v>
      </c>
      <c r="D187" s="3">
        <v>7</v>
      </c>
      <c r="E187" s="3" t="s">
        <v>308</v>
      </c>
      <c r="F187" s="3" t="s">
        <v>295</v>
      </c>
      <c r="G187" s="36">
        <v>0</v>
      </c>
    </row>
    <row r="188" spans="1:7" x14ac:dyDescent="0.25">
      <c r="A188" s="34">
        <v>45111</v>
      </c>
      <c r="B188" s="3">
        <v>2023</v>
      </c>
      <c r="C188" s="3" t="s">
        <v>307</v>
      </c>
      <c r="D188" s="3">
        <v>7</v>
      </c>
      <c r="E188" s="3" t="s">
        <v>308</v>
      </c>
      <c r="F188" s="3" t="s">
        <v>296</v>
      </c>
      <c r="G188" s="36">
        <v>0</v>
      </c>
    </row>
    <row r="189" spans="1:7" x14ac:dyDescent="0.25">
      <c r="A189" s="34">
        <v>45112</v>
      </c>
      <c r="B189" s="3">
        <v>2023</v>
      </c>
      <c r="C189" s="3" t="s">
        <v>307</v>
      </c>
      <c r="D189" s="3">
        <v>7</v>
      </c>
      <c r="E189" s="3" t="s">
        <v>308</v>
      </c>
      <c r="F189" s="3" t="s">
        <v>297</v>
      </c>
      <c r="G189" s="36">
        <v>0</v>
      </c>
    </row>
    <row r="190" spans="1:7" x14ac:dyDescent="0.25">
      <c r="A190" s="34">
        <v>45113</v>
      </c>
      <c r="B190" s="3">
        <v>2023</v>
      </c>
      <c r="C190" s="3" t="s">
        <v>307</v>
      </c>
      <c r="D190" s="3">
        <v>7</v>
      </c>
      <c r="E190" s="3" t="s">
        <v>308</v>
      </c>
      <c r="F190" s="3" t="s">
        <v>298</v>
      </c>
      <c r="G190" s="36">
        <v>0</v>
      </c>
    </row>
    <row r="191" spans="1:7" x14ac:dyDescent="0.25">
      <c r="A191" s="34">
        <v>45114</v>
      </c>
      <c r="B191" s="3">
        <v>2023</v>
      </c>
      <c r="C191" s="3" t="s">
        <v>307</v>
      </c>
      <c r="D191" s="3">
        <v>7</v>
      </c>
      <c r="E191" s="3" t="s">
        <v>308</v>
      </c>
      <c r="F191" s="3" t="s">
        <v>299</v>
      </c>
      <c r="G191" s="36">
        <v>0</v>
      </c>
    </row>
    <row r="192" spans="1:7" x14ac:dyDescent="0.25">
      <c r="A192" s="34">
        <v>45115</v>
      </c>
      <c r="B192" s="3">
        <v>2023</v>
      </c>
      <c r="C192" s="3" t="s">
        <v>307</v>
      </c>
      <c r="D192" s="3">
        <v>7</v>
      </c>
      <c r="E192" s="3" t="s">
        <v>308</v>
      </c>
      <c r="F192" s="3" t="s">
        <v>300</v>
      </c>
      <c r="G192" s="35">
        <v>1</v>
      </c>
    </row>
    <row r="193" spans="1:7" x14ac:dyDescent="0.25">
      <c r="A193" s="34">
        <v>45116</v>
      </c>
      <c r="B193" s="3">
        <v>2023</v>
      </c>
      <c r="C193" s="3" t="s">
        <v>307</v>
      </c>
      <c r="D193" s="3">
        <v>7</v>
      </c>
      <c r="E193" s="3" t="s">
        <v>308</v>
      </c>
      <c r="F193" s="3" t="s">
        <v>294</v>
      </c>
      <c r="G193" s="35">
        <v>1</v>
      </c>
    </row>
    <row r="194" spans="1:7" x14ac:dyDescent="0.25">
      <c r="A194" s="34">
        <v>45117</v>
      </c>
      <c r="B194" s="3">
        <v>2023</v>
      </c>
      <c r="C194" s="3" t="s">
        <v>307</v>
      </c>
      <c r="D194" s="3">
        <v>7</v>
      </c>
      <c r="E194" s="3" t="s">
        <v>308</v>
      </c>
      <c r="F194" s="3" t="s">
        <v>295</v>
      </c>
      <c r="G194" s="36">
        <v>0</v>
      </c>
    </row>
    <row r="195" spans="1:7" x14ac:dyDescent="0.25">
      <c r="A195" s="34">
        <v>45118</v>
      </c>
      <c r="B195" s="3">
        <v>2023</v>
      </c>
      <c r="C195" s="3" t="s">
        <v>307</v>
      </c>
      <c r="D195" s="3">
        <v>7</v>
      </c>
      <c r="E195" s="3" t="s">
        <v>308</v>
      </c>
      <c r="F195" s="3" t="s">
        <v>296</v>
      </c>
      <c r="G195" s="36">
        <v>0</v>
      </c>
    </row>
    <row r="196" spans="1:7" x14ac:dyDescent="0.25">
      <c r="A196" s="34">
        <v>45119</v>
      </c>
      <c r="B196" s="3">
        <v>2023</v>
      </c>
      <c r="C196" s="3" t="s">
        <v>307</v>
      </c>
      <c r="D196" s="3">
        <v>7</v>
      </c>
      <c r="E196" s="3" t="s">
        <v>308</v>
      </c>
      <c r="F196" s="3" t="s">
        <v>297</v>
      </c>
      <c r="G196" s="36">
        <v>0</v>
      </c>
    </row>
    <row r="197" spans="1:7" x14ac:dyDescent="0.25">
      <c r="A197" s="34">
        <v>45120</v>
      </c>
      <c r="B197" s="3">
        <v>2023</v>
      </c>
      <c r="C197" s="3" t="s">
        <v>307</v>
      </c>
      <c r="D197" s="3">
        <v>7</v>
      </c>
      <c r="E197" s="3" t="s">
        <v>308</v>
      </c>
      <c r="F197" s="3" t="s">
        <v>298</v>
      </c>
      <c r="G197" s="36">
        <v>0</v>
      </c>
    </row>
    <row r="198" spans="1:7" x14ac:dyDescent="0.25">
      <c r="A198" s="34">
        <v>45121</v>
      </c>
      <c r="B198" s="3">
        <v>2023</v>
      </c>
      <c r="C198" s="3" t="s">
        <v>307</v>
      </c>
      <c r="D198" s="3">
        <v>7</v>
      </c>
      <c r="E198" s="3" t="s">
        <v>308</v>
      </c>
      <c r="F198" s="3" t="s">
        <v>299</v>
      </c>
      <c r="G198" s="36">
        <v>0</v>
      </c>
    </row>
    <row r="199" spans="1:7" x14ac:dyDescent="0.25">
      <c r="A199" s="34">
        <v>45122</v>
      </c>
      <c r="B199" s="3">
        <v>2023</v>
      </c>
      <c r="C199" s="3" t="s">
        <v>307</v>
      </c>
      <c r="D199" s="3">
        <v>7</v>
      </c>
      <c r="E199" s="3" t="s">
        <v>308</v>
      </c>
      <c r="F199" s="3" t="s">
        <v>300</v>
      </c>
      <c r="G199" s="35">
        <v>1</v>
      </c>
    </row>
    <row r="200" spans="1:7" x14ac:dyDescent="0.25">
      <c r="A200" s="34">
        <v>45123</v>
      </c>
      <c r="B200" s="3">
        <v>2023</v>
      </c>
      <c r="C200" s="3" t="s">
        <v>307</v>
      </c>
      <c r="D200" s="3">
        <v>7</v>
      </c>
      <c r="E200" s="3" t="s">
        <v>308</v>
      </c>
      <c r="F200" s="3" t="s">
        <v>294</v>
      </c>
      <c r="G200" s="35">
        <v>1</v>
      </c>
    </row>
    <row r="201" spans="1:7" x14ac:dyDescent="0.25">
      <c r="A201" s="34">
        <v>45124</v>
      </c>
      <c r="B201" s="3">
        <v>2023</v>
      </c>
      <c r="C201" s="3" t="s">
        <v>307</v>
      </c>
      <c r="D201" s="3">
        <v>7</v>
      </c>
      <c r="E201" s="3" t="s">
        <v>308</v>
      </c>
      <c r="F201" s="3" t="s">
        <v>295</v>
      </c>
      <c r="G201" s="36">
        <v>0</v>
      </c>
    </row>
    <row r="202" spans="1:7" x14ac:dyDescent="0.25">
      <c r="A202" s="34">
        <v>45125</v>
      </c>
      <c r="B202" s="3">
        <v>2023</v>
      </c>
      <c r="C202" s="3" t="s">
        <v>307</v>
      </c>
      <c r="D202" s="3">
        <v>7</v>
      </c>
      <c r="E202" s="3" t="s">
        <v>308</v>
      </c>
      <c r="F202" s="3" t="s">
        <v>296</v>
      </c>
      <c r="G202" s="36">
        <v>0</v>
      </c>
    </row>
    <row r="203" spans="1:7" x14ac:dyDescent="0.25">
      <c r="A203" s="34">
        <v>45126</v>
      </c>
      <c r="B203" s="3">
        <v>2023</v>
      </c>
      <c r="C203" s="3" t="s">
        <v>307</v>
      </c>
      <c r="D203" s="3">
        <v>7</v>
      </c>
      <c r="E203" s="3" t="s">
        <v>308</v>
      </c>
      <c r="F203" s="3" t="s">
        <v>297</v>
      </c>
      <c r="G203" s="36">
        <v>0</v>
      </c>
    </row>
    <row r="204" spans="1:7" x14ac:dyDescent="0.25">
      <c r="A204" s="34">
        <v>45127</v>
      </c>
      <c r="B204" s="3">
        <v>2023</v>
      </c>
      <c r="C204" s="3" t="s">
        <v>307</v>
      </c>
      <c r="D204" s="3">
        <v>7</v>
      </c>
      <c r="E204" s="3" t="s">
        <v>308</v>
      </c>
      <c r="F204" s="3" t="s">
        <v>298</v>
      </c>
      <c r="G204" s="36">
        <v>0</v>
      </c>
    </row>
    <row r="205" spans="1:7" x14ac:dyDescent="0.25">
      <c r="A205" s="34">
        <v>45128</v>
      </c>
      <c r="B205" s="3">
        <v>2023</v>
      </c>
      <c r="C205" s="3" t="s">
        <v>307</v>
      </c>
      <c r="D205" s="3">
        <v>7</v>
      </c>
      <c r="E205" s="3" t="s">
        <v>308</v>
      </c>
      <c r="F205" s="3" t="s">
        <v>299</v>
      </c>
      <c r="G205" s="36">
        <v>0</v>
      </c>
    </row>
    <row r="206" spans="1:7" x14ac:dyDescent="0.25">
      <c r="A206" s="34">
        <v>45129</v>
      </c>
      <c r="B206" s="3">
        <v>2023</v>
      </c>
      <c r="C206" s="3" t="s">
        <v>307</v>
      </c>
      <c r="D206" s="3">
        <v>7</v>
      </c>
      <c r="E206" s="3" t="s">
        <v>308</v>
      </c>
      <c r="F206" s="3" t="s">
        <v>300</v>
      </c>
      <c r="G206" s="35">
        <v>1</v>
      </c>
    </row>
    <row r="207" spans="1:7" x14ac:dyDescent="0.25">
      <c r="A207" s="34">
        <v>45130</v>
      </c>
      <c r="B207" s="3">
        <v>2023</v>
      </c>
      <c r="C207" s="3" t="s">
        <v>307</v>
      </c>
      <c r="D207" s="3">
        <v>7</v>
      </c>
      <c r="E207" s="3" t="s">
        <v>308</v>
      </c>
      <c r="F207" s="3" t="s">
        <v>294</v>
      </c>
      <c r="G207" s="35">
        <v>1</v>
      </c>
    </row>
    <row r="208" spans="1:7" x14ac:dyDescent="0.25">
      <c r="A208" s="34">
        <v>45131</v>
      </c>
      <c r="B208" s="3">
        <v>2023</v>
      </c>
      <c r="C208" s="3" t="s">
        <v>307</v>
      </c>
      <c r="D208" s="3">
        <v>7</v>
      </c>
      <c r="E208" s="3" t="s">
        <v>308</v>
      </c>
      <c r="F208" s="3" t="s">
        <v>295</v>
      </c>
      <c r="G208" s="36">
        <v>0</v>
      </c>
    </row>
    <row r="209" spans="1:7" x14ac:dyDescent="0.25">
      <c r="A209" s="34">
        <v>45132</v>
      </c>
      <c r="B209" s="3">
        <v>2023</v>
      </c>
      <c r="C209" s="3" t="s">
        <v>307</v>
      </c>
      <c r="D209" s="3">
        <v>7</v>
      </c>
      <c r="E209" s="3" t="s">
        <v>308</v>
      </c>
      <c r="F209" s="3" t="s">
        <v>296</v>
      </c>
      <c r="G209" s="36">
        <v>0</v>
      </c>
    </row>
    <row r="210" spans="1:7" x14ac:dyDescent="0.25">
      <c r="A210" s="34">
        <v>45133</v>
      </c>
      <c r="B210" s="3">
        <v>2023</v>
      </c>
      <c r="C210" s="3" t="s">
        <v>307</v>
      </c>
      <c r="D210" s="3">
        <v>7</v>
      </c>
      <c r="E210" s="3" t="s">
        <v>308</v>
      </c>
      <c r="F210" s="3" t="s">
        <v>297</v>
      </c>
      <c r="G210" s="36">
        <v>0</v>
      </c>
    </row>
    <row r="211" spans="1:7" x14ac:dyDescent="0.25">
      <c r="A211" s="34">
        <v>45134</v>
      </c>
      <c r="B211" s="3">
        <v>2023</v>
      </c>
      <c r="C211" s="3" t="s">
        <v>307</v>
      </c>
      <c r="D211" s="3">
        <v>7</v>
      </c>
      <c r="E211" s="3" t="s">
        <v>308</v>
      </c>
      <c r="F211" s="3" t="s">
        <v>298</v>
      </c>
      <c r="G211" s="36">
        <v>0</v>
      </c>
    </row>
    <row r="212" spans="1:7" x14ac:dyDescent="0.25">
      <c r="A212" s="34">
        <v>45135</v>
      </c>
      <c r="B212" s="3">
        <v>2023</v>
      </c>
      <c r="C212" s="3" t="s">
        <v>307</v>
      </c>
      <c r="D212" s="3">
        <v>7</v>
      </c>
      <c r="E212" s="3" t="s">
        <v>308</v>
      </c>
      <c r="F212" s="3" t="s">
        <v>299</v>
      </c>
      <c r="G212" s="36">
        <v>0</v>
      </c>
    </row>
    <row r="213" spans="1:7" x14ac:dyDescent="0.25">
      <c r="A213" s="34">
        <v>45136</v>
      </c>
      <c r="B213" s="3">
        <v>2023</v>
      </c>
      <c r="C213" s="3" t="s">
        <v>307</v>
      </c>
      <c r="D213" s="3">
        <v>7</v>
      </c>
      <c r="E213" s="3" t="s">
        <v>308</v>
      </c>
      <c r="F213" s="3" t="s">
        <v>300</v>
      </c>
      <c r="G213" s="35">
        <v>1</v>
      </c>
    </row>
    <row r="214" spans="1:7" x14ac:dyDescent="0.25">
      <c r="A214" s="34">
        <v>45137</v>
      </c>
      <c r="B214" s="3">
        <v>2023</v>
      </c>
      <c r="C214" s="3" t="s">
        <v>307</v>
      </c>
      <c r="D214" s="3">
        <v>7</v>
      </c>
      <c r="E214" s="3" t="s">
        <v>308</v>
      </c>
      <c r="F214" s="3" t="s">
        <v>294</v>
      </c>
      <c r="G214" s="35">
        <v>1</v>
      </c>
    </row>
    <row r="215" spans="1:7" x14ac:dyDescent="0.25">
      <c r="A215" s="34">
        <v>45138</v>
      </c>
      <c r="B215" s="3">
        <v>2023</v>
      </c>
      <c r="C215" s="3" t="s">
        <v>307</v>
      </c>
      <c r="D215" s="3">
        <v>7</v>
      </c>
      <c r="E215" s="3" t="s">
        <v>308</v>
      </c>
      <c r="F215" s="3" t="s">
        <v>295</v>
      </c>
      <c r="G215" s="36">
        <v>0</v>
      </c>
    </row>
    <row r="216" spans="1:7" x14ac:dyDescent="0.25">
      <c r="A216" s="34">
        <v>45139</v>
      </c>
      <c r="B216" s="3">
        <v>2023</v>
      </c>
      <c r="C216" s="3" t="s">
        <v>307</v>
      </c>
      <c r="D216" s="3">
        <v>8</v>
      </c>
      <c r="E216" s="3" t="s">
        <v>309</v>
      </c>
      <c r="F216" s="3" t="s">
        <v>296</v>
      </c>
      <c r="G216" s="36">
        <v>0</v>
      </c>
    </row>
    <row r="217" spans="1:7" x14ac:dyDescent="0.25">
      <c r="A217" s="34">
        <v>45140</v>
      </c>
      <c r="B217" s="3">
        <v>2023</v>
      </c>
      <c r="C217" s="3" t="s">
        <v>307</v>
      </c>
      <c r="D217" s="3">
        <v>8</v>
      </c>
      <c r="E217" s="3" t="s">
        <v>309</v>
      </c>
      <c r="F217" s="3" t="s">
        <v>297</v>
      </c>
      <c r="G217" s="36">
        <v>0</v>
      </c>
    </row>
    <row r="218" spans="1:7" x14ac:dyDescent="0.25">
      <c r="A218" s="34">
        <v>45141</v>
      </c>
      <c r="B218" s="3">
        <v>2023</v>
      </c>
      <c r="C218" s="3" t="s">
        <v>307</v>
      </c>
      <c r="D218" s="3">
        <v>8</v>
      </c>
      <c r="E218" s="3" t="s">
        <v>309</v>
      </c>
      <c r="F218" s="3" t="s">
        <v>298</v>
      </c>
      <c r="G218" s="36">
        <v>0</v>
      </c>
    </row>
    <row r="219" spans="1:7" x14ac:dyDescent="0.25">
      <c r="A219" s="34">
        <v>45142</v>
      </c>
      <c r="B219" s="3">
        <v>2023</v>
      </c>
      <c r="C219" s="3" t="s">
        <v>307</v>
      </c>
      <c r="D219" s="3">
        <v>8</v>
      </c>
      <c r="E219" s="3" t="s">
        <v>309</v>
      </c>
      <c r="F219" s="3" t="s">
        <v>299</v>
      </c>
      <c r="G219" s="36">
        <v>0</v>
      </c>
    </row>
    <row r="220" spans="1:7" x14ac:dyDescent="0.25">
      <c r="A220" s="34">
        <v>45143</v>
      </c>
      <c r="B220" s="3">
        <v>2023</v>
      </c>
      <c r="C220" s="3" t="s">
        <v>307</v>
      </c>
      <c r="D220" s="3">
        <v>8</v>
      </c>
      <c r="E220" s="3" t="s">
        <v>309</v>
      </c>
      <c r="F220" s="3" t="s">
        <v>300</v>
      </c>
      <c r="G220" s="35">
        <v>1</v>
      </c>
    </row>
    <row r="221" spans="1:7" x14ac:dyDescent="0.25">
      <c r="A221" s="34">
        <v>45144</v>
      </c>
      <c r="B221" s="3">
        <v>2023</v>
      </c>
      <c r="C221" s="3" t="s">
        <v>307</v>
      </c>
      <c r="D221" s="3">
        <v>8</v>
      </c>
      <c r="E221" s="3" t="s">
        <v>309</v>
      </c>
      <c r="F221" s="3" t="s">
        <v>294</v>
      </c>
      <c r="G221" s="35">
        <v>1</v>
      </c>
    </row>
    <row r="222" spans="1:7" x14ac:dyDescent="0.25">
      <c r="A222" s="34">
        <v>45145</v>
      </c>
      <c r="B222" s="3">
        <v>2023</v>
      </c>
      <c r="C222" s="3" t="s">
        <v>307</v>
      </c>
      <c r="D222" s="3">
        <v>8</v>
      </c>
      <c r="E222" s="3" t="s">
        <v>309</v>
      </c>
      <c r="F222" s="3" t="s">
        <v>295</v>
      </c>
      <c r="G222" s="36">
        <v>0</v>
      </c>
    </row>
    <row r="223" spans="1:7" x14ac:dyDescent="0.25">
      <c r="A223" s="34">
        <v>45146</v>
      </c>
      <c r="B223" s="3">
        <v>2023</v>
      </c>
      <c r="C223" s="3" t="s">
        <v>307</v>
      </c>
      <c r="D223" s="3">
        <v>8</v>
      </c>
      <c r="E223" s="3" t="s">
        <v>309</v>
      </c>
      <c r="F223" s="3" t="s">
        <v>296</v>
      </c>
      <c r="G223" s="36">
        <v>0</v>
      </c>
    </row>
    <row r="224" spans="1:7" x14ac:dyDescent="0.25">
      <c r="A224" s="34">
        <v>45147</v>
      </c>
      <c r="B224" s="3">
        <v>2023</v>
      </c>
      <c r="C224" s="3" t="s">
        <v>307</v>
      </c>
      <c r="D224" s="3">
        <v>8</v>
      </c>
      <c r="E224" s="3" t="s">
        <v>309</v>
      </c>
      <c r="F224" s="3" t="s">
        <v>297</v>
      </c>
      <c r="G224" s="36">
        <v>0</v>
      </c>
    </row>
    <row r="225" spans="1:7" x14ac:dyDescent="0.25">
      <c r="A225" s="34">
        <v>45148</v>
      </c>
      <c r="B225" s="3">
        <v>2023</v>
      </c>
      <c r="C225" s="3" t="s">
        <v>307</v>
      </c>
      <c r="D225" s="3">
        <v>8</v>
      </c>
      <c r="E225" s="3" t="s">
        <v>309</v>
      </c>
      <c r="F225" s="3" t="s">
        <v>298</v>
      </c>
      <c r="G225" s="36">
        <v>0</v>
      </c>
    </row>
    <row r="226" spans="1:7" x14ac:dyDescent="0.25">
      <c r="A226" s="34">
        <v>45149</v>
      </c>
      <c r="B226" s="3">
        <v>2023</v>
      </c>
      <c r="C226" s="3" t="s">
        <v>307</v>
      </c>
      <c r="D226" s="3">
        <v>8</v>
      </c>
      <c r="E226" s="3" t="s">
        <v>309</v>
      </c>
      <c r="F226" s="3" t="s">
        <v>299</v>
      </c>
      <c r="G226" s="36">
        <v>0</v>
      </c>
    </row>
    <row r="227" spans="1:7" x14ac:dyDescent="0.25">
      <c r="A227" s="34">
        <v>45150</v>
      </c>
      <c r="B227" s="3">
        <v>2023</v>
      </c>
      <c r="C227" s="3" t="s">
        <v>307</v>
      </c>
      <c r="D227" s="3">
        <v>8</v>
      </c>
      <c r="E227" s="3" t="s">
        <v>309</v>
      </c>
      <c r="F227" s="3" t="s">
        <v>300</v>
      </c>
      <c r="G227" s="35">
        <v>1</v>
      </c>
    </row>
    <row r="228" spans="1:7" x14ac:dyDescent="0.25">
      <c r="A228" s="34">
        <v>45151</v>
      </c>
      <c r="B228" s="3">
        <v>2023</v>
      </c>
      <c r="C228" s="3" t="s">
        <v>307</v>
      </c>
      <c r="D228" s="3">
        <v>8</v>
      </c>
      <c r="E228" s="3" t="s">
        <v>309</v>
      </c>
      <c r="F228" s="3" t="s">
        <v>294</v>
      </c>
      <c r="G228" s="35">
        <v>1</v>
      </c>
    </row>
    <row r="229" spans="1:7" x14ac:dyDescent="0.25">
      <c r="A229" s="34">
        <v>45152</v>
      </c>
      <c r="B229" s="3">
        <v>2023</v>
      </c>
      <c r="C229" s="3" t="s">
        <v>307</v>
      </c>
      <c r="D229" s="3">
        <v>8</v>
      </c>
      <c r="E229" s="3" t="s">
        <v>309</v>
      </c>
      <c r="F229" s="3" t="s">
        <v>295</v>
      </c>
      <c r="G229" s="36">
        <v>0</v>
      </c>
    </row>
    <row r="230" spans="1:7" x14ac:dyDescent="0.25">
      <c r="A230" s="34">
        <v>45153</v>
      </c>
      <c r="B230" s="3">
        <v>2023</v>
      </c>
      <c r="C230" s="3" t="s">
        <v>307</v>
      </c>
      <c r="D230" s="3">
        <v>8</v>
      </c>
      <c r="E230" s="3" t="s">
        <v>309</v>
      </c>
      <c r="F230" s="3" t="s">
        <v>296</v>
      </c>
      <c r="G230" s="36">
        <v>0</v>
      </c>
    </row>
    <row r="231" spans="1:7" x14ac:dyDescent="0.25">
      <c r="A231" s="34">
        <v>45154</v>
      </c>
      <c r="B231" s="3">
        <v>2023</v>
      </c>
      <c r="C231" s="3" t="s">
        <v>307</v>
      </c>
      <c r="D231" s="3">
        <v>8</v>
      </c>
      <c r="E231" s="3" t="s">
        <v>309</v>
      </c>
      <c r="F231" s="3" t="s">
        <v>297</v>
      </c>
      <c r="G231" s="36">
        <v>0</v>
      </c>
    </row>
    <row r="232" spans="1:7" x14ac:dyDescent="0.25">
      <c r="A232" s="34">
        <v>45155</v>
      </c>
      <c r="B232" s="3">
        <v>2023</v>
      </c>
      <c r="C232" s="3" t="s">
        <v>307</v>
      </c>
      <c r="D232" s="3">
        <v>8</v>
      </c>
      <c r="E232" s="3" t="s">
        <v>309</v>
      </c>
      <c r="F232" s="3" t="s">
        <v>298</v>
      </c>
      <c r="G232" s="36">
        <v>0</v>
      </c>
    </row>
    <row r="233" spans="1:7" x14ac:dyDescent="0.25">
      <c r="A233" s="34">
        <v>45156</v>
      </c>
      <c r="B233" s="3">
        <v>2023</v>
      </c>
      <c r="C233" s="3" t="s">
        <v>307</v>
      </c>
      <c r="D233" s="3">
        <v>8</v>
      </c>
      <c r="E233" s="3" t="s">
        <v>309</v>
      </c>
      <c r="F233" s="3" t="s">
        <v>299</v>
      </c>
      <c r="G233" s="36">
        <v>0</v>
      </c>
    </row>
    <row r="234" spans="1:7" x14ac:dyDescent="0.25">
      <c r="A234" s="34">
        <v>45157</v>
      </c>
      <c r="B234" s="3">
        <v>2023</v>
      </c>
      <c r="C234" s="3" t="s">
        <v>307</v>
      </c>
      <c r="D234" s="3">
        <v>8</v>
      </c>
      <c r="E234" s="3" t="s">
        <v>309</v>
      </c>
      <c r="F234" s="3" t="s">
        <v>300</v>
      </c>
      <c r="G234" s="35">
        <v>1</v>
      </c>
    </row>
    <row r="235" spans="1:7" x14ac:dyDescent="0.25">
      <c r="A235" s="34">
        <v>45158</v>
      </c>
      <c r="B235" s="3">
        <v>2023</v>
      </c>
      <c r="C235" s="3" t="s">
        <v>307</v>
      </c>
      <c r="D235" s="3">
        <v>8</v>
      </c>
      <c r="E235" s="3" t="s">
        <v>309</v>
      </c>
      <c r="F235" s="3" t="s">
        <v>294</v>
      </c>
      <c r="G235" s="35">
        <v>1</v>
      </c>
    </row>
    <row r="236" spans="1:7" x14ac:dyDescent="0.25">
      <c r="A236" s="34">
        <v>45159</v>
      </c>
      <c r="B236" s="3">
        <v>2023</v>
      </c>
      <c r="C236" s="3" t="s">
        <v>307</v>
      </c>
      <c r="D236" s="3">
        <v>8</v>
      </c>
      <c r="E236" s="3" t="s">
        <v>309</v>
      </c>
      <c r="F236" s="3" t="s">
        <v>295</v>
      </c>
      <c r="G236" s="36">
        <v>0</v>
      </c>
    </row>
    <row r="237" spans="1:7" x14ac:dyDescent="0.25">
      <c r="A237" s="34">
        <v>45160</v>
      </c>
      <c r="B237" s="3">
        <v>2023</v>
      </c>
      <c r="C237" s="3" t="s">
        <v>307</v>
      </c>
      <c r="D237" s="3">
        <v>8</v>
      </c>
      <c r="E237" s="3" t="s">
        <v>309</v>
      </c>
      <c r="F237" s="3" t="s">
        <v>296</v>
      </c>
      <c r="G237" s="36">
        <v>0</v>
      </c>
    </row>
    <row r="238" spans="1:7" x14ac:dyDescent="0.25">
      <c r="A238" s="34">
        <v>45161</v>
      </c>
      <c r="B238" s="3">
        <v>2023</v>
      </c>
      <c r="C238" s="3" t="s">
        <v>307</v>
      </c>
      <c r="D238" s="3">
        <v>8</v>
      </c>
      <c r="E238" s="3" t="s">
        <v>309</v>
      </c>
      <c r="F238" s="3" t="s">
        <v>297</v>
      </c>
      <c r="G238" s="36">
        <v>0</v>
      </c>
    </row>
    <row r="239" spans="1:7" x14ac:dyDescent="0.25">
      <c r="A239" s="34">
        <v>45162</v>
      </c>
      <c r="B239" s="3">
        <v>2023</v>
      </c>
      <c r="C239" s="3" t="s">
        <v>307</v>
      </c>
      <c r="D239" s="3">
        <v>8</v>
      </c>
      <c r="E239" s="3" t="s">
        <v>309</v>
      </c>
      <c r="F239" s="3" t="s">
        <v>298</v>
      </c>
      <c r="G239" s="36">
        <v>0</v>
      </c>
    </row>
    <row r="240" spans="1:7" x14ac:dyDescent="0.25">
      <c r="A240" s="34">
        <v>45163</v>
      </c>
      <c r="B240" s="3">
        <v>2023</v>
      </c>
      <c r="C240" s="3" t="s">
        <v>307</v>
      </c>
      <c r="D240" s="3">
        <v>8</v>
      </c>
      <c r="E240" s="3" t="s">
        <v>309</v>
      </c>
      <c r="F240" s="3" t="s">
        <v>299</v>
      </c>
      <c r="G240" s="36">
        <v>0</v>
      </c>
    </row>
    <row r="241" spans="1:7" x14ac:dyDescent="0.25">
      <c r="A241" s="34">
        <v>45164</v>
      </c>
      <c r="B241" s="3">
        <v>2023</v>
      </c>
      <c r="C241" s="3" t="s">
        <v>307</v>
      </c>
      <c r="D241" s="3">
        <v>8</v>
      </c>
      <c r="E241" s="3" t="s">
        <v>309</v>
      </c>
      <c r="F241" s="3" t="s">
        <v>300</v>
      </c>
      <c r="G241" s="35">
        <v>1</v>
      </c>
    </row>
    <row r="242" spans="1:7" x14ac:dyDescent="0.25">
      <c r="A242" s="34">
        <v>45165</v>
      </c>
      <c r="B242" s="3">
        <v>2023</v>
      </c>
      <c r="C242" s="3" t="s">
        <v>307</v>
      </c>
      <c r="D242" s="3">
        <v>8</v>
      </c>
      <c r="E242" s="3" t="s">
        <v>309</v>
      </c>
      <c r="F242" s="3" t="s">
        <v>294</v>
      </c>
      <c r="G242" s="35">
        <v>1</v>
      </c>
    </row>
    <row r="243" spans="1:7" x14ac:dyDescent="0.25">
      <c r="A243" s="34">
        <v>45166</v>
      </c>
      <c r="B243" s="3">
        <v>2023</v>
      </c>
      <c r="C243" s="3" t="s">
        <v>307</v>
      </c>
      <c r="D243" s="3">
        <v>8</v>
      </c>
      <c r="E243" s="3" t="s">
        <v>309</v>
      </c>
      <c r="F243" s="3" t="s">
        <v>295</v>
      </c>
      <c r="G243" s="36">
        <v>0</v>
      </c>
    </row>
    <row r="244" spans="1:7" x14ac:dyDescent="0.25">
      <c r="A244" s="34">
        <v>45167</v>
      </c>
      <c r="B244" s="3">
        <v>2023</v>
      </c>
      <c r="C244" s="3" t="s">
        <v>307</v>
      </c>
      <c r="D244" s="3">
        <v>8</v>
      </c>
      <c r="E244" s="3" t="s">
        <v>309</v>
      </c>
      <c r="F244" s="3" t="s">
        <v>296</v>
      </c>
      <c r="G244" s="36">
        <v>0</v>
      </c>
    </row>
    <row r="245" spans="1:7" x14ac:dyDescent="0.25">
      <c r="A245" s="34">
        <v>45168</v>
      </c>
      <c r="B245" s="3">
        <v>2023</v>
      </c>
      <c r="C245" s="3" t="s">
        <v>307</v>
      </c>
      <c r="D245" s="3">
        <v>8</v>
      </c>
      <c r="E245" s="3" t="s">
        <v>309</v>
      </c>
      <c r="F245" s="3" t="s">
        <v>297</v>
      </c>
      <c r="G245" s="36">
        <v>0</v>
      </c>
    </row>
    <row r="246" spans="1:7" x14ac:dyDescent="0.25">
      <c r="A246" s="34">
        <v>45169</v>
      </c>
      <c r="B246" s="3">
        <v>2023</v>
      </c>
      <c r="C246" s="3" t="s">
        <v>307</v>
      </c>
      <c r="D246" s="3">
        <v>8</v>
      </c>
      <c r="E246" s="3" t="s">
        <v>309</v>
      </c>
      <c r="F246" s="3" t="s">
        <v>298</v>
      </c>
      <c r="G246" s="36">
        <v>0</v>
      </c>
    </row>
    <row r="247" spans="1:7" x14ac:dyDescent="0.25">
      <c r="A247" s="34">
        <v>45170</v>
      </c>
      <c r="B247" s="3">
        <v>2023</v>
      </c>
      <c r="C247" s="3" t="s">
        <v>307</v>
      </c>
      <c r="D247" s="3">
        <v>9</v>
      </c>
      <c r="E247" s="3" t="s">
        <v>310</v>
      </c>
      <c r="F247" s="3" t="s">
        <v>299</v>
      </c>
      <c r="G247" s="36">
        <v>0</v>
      </c>
    </row>
    <row r="248" spans="1:7" x14ac:dyDescent="0.25">
      <c r="A248" s="34">
        <v>45171</v>
      </c>
      <c r="B248" s="3">
        <v>2023</v>
      </c>
      <c r="C248" s="3" t="s">
        <v>307</v>
      </c>
      <c r="D248" s="3">
        <v>9</v>
      </c>
      <c r="E248" s="3" t="s">
        <v>310</v>
      </c>
      <c r="F248" s="3" t="s">
        <v>300</v>
      </c>
      <c r="G248" s="35">
        <v>1</v>
      </c>
    </row>
    <row r="249" spans="1:7" x14ac:dyDescent="0.25">
      <c r="A249" s="34">
        <v>45172</v>
      </c>
      <c r="B249" s="3">
        <v>2023</v>
      </c>
      <c r="C249" s="3" t="s">
        <v>307</v>
      </c>
      <c r="D249" s="3">
        <v>9</v>
      </c>
      <c r="E249" s="3" t="s">
        <v>310</v>
      </c>
      <c r="F249" s="3" t="s">
        <v>294</v>
      </c>
      <c r="G249" s="35">
        <v>1</v>
      </c>
    </row>
    <row r="250" spans="1:7" x14ac:dyDescent="0.25">
      <c r="A250" s="34">
        <v>45173</v>
      </c>
      <c r="B250" s="3">
        <v>2023</v>
      </c>
      <c r="C250" s="3" t="s">
        <v>307</v>
      </c>
      <c r="D250" s="3">
        <v>9</v>
      </c>
      <c r="E250" s="3" t="s">
        <v>310</v>
      </c>
      <c r="F250" s="3" t="s">
        <v>295</v>
      </c>
      <c r="G250" s="36">
        <v>0</v>
      </c>
    </row>
    <row r="251" spans="1:7" x14ac:dyDescent="0.25">
      <c r="A251" s="34">
        <v>45174</v>
      </c>
      <c r="B251" s="3">
        <v>2023</v>
      </c>
      <c r="C251" s="3" t="s">
        <v>307</v>
      </c>
      <c r="D251" s="3">
        <v>9</v>
      </c>
      <c r="E251" s="3" t="s">
        <v>310</v>
      </c>
      <c r="F251" s="3" t="s">
        <v>296</v>
      </c>
      <c r="G251" s="36">
        <v>0</v>
      </c>
    </row>
    <row r="252" spans="1:7" x14ac:dyDescent="0.25">
      <c r="A252" s="34">
        <v>45175</v>
      </c>
      <c r="B252" s="3">
        <v>2023</v>
      </c>
      <c r="C252" s="3" t="s">
        <v>307</v>
      </c>
      <c r="D252" s="3">
        <v>9</v>
      </c>
      <c r="E252" s="3" t="s">
        <v>310</v>
      </c>
      <c r="F252" s="3" t="s">
        <v>297</v>
      </c>
      <c r="G252" s="36">
        <v>0</v>
      </c>
    </row>
    <row r="253" spans="1:7" x14ac:dyDescent="0.25">
      <c r="A253" s="34">
        <v>45176</v>
      </c>
      <c r="B253" s="3">
        <v>2023</v>
      </c>
      <c r="C253" s="3" t="s">
        <v>307</v>
      </c>
      <c r="D253" s="3">
        <v>9</v>
      </c>
      <c r="E253" s="3" t="s">
        <v>310</v>
      </c>
      <c r="F253" s="3" t="s">
        <v>298</v>
      </c>
      <c r="G253" s="36">
        <v>0</v>
      </c>
    </row>
    <row r="254" spans="1:7" x14ac:dyDescent="0.25">
      <c r="A254" s="34">
        <v>45177</v>
      </c>
      <c r="B254" s="3">
        <v>2023</v>
      </c>
      <c r="C254" s="3" t="s">
        <v>307</v>
      </c>
      <c r="D254" s="3">
        <v>9</v>
      </c>
      <c r="E254" s="3" t="s">
        <v>310</v>
      </c>
      <c r="F254" s="3" t="s">
        <v>299</v>
      </c>
      <c r="G254" s="36">
        <v>0</v>
      </c>
    </row>
    <row r="255" spans="1:7" x14ac:dyDescent="0.25">
      <c r="A255" s="34">
        <v>45178</v>
      </c>
      <c r="B255" s="3">
        <v>2023</v>
      </c>
      <c r="C255" s="3" t="s">
        <v>307</v>
      </c>
      <c r="D255" s="3">
        <v>9</v>
      </c>
      <c r="E255" s="3" t="s">
        <v>310</v>
      </c>
      <c r="F255" s="3" t="s">
        <v>300</v>
      </c>
      <c r="G255" s="35">
        <v>1</v>
      </c>
    </row>
    <row r="256" spans="1:7" x14ac:dyDescent="0.25">
      <c r="A256" s="34">
        <v>45179</v>
      </c>
      <c r="B256" s="3">
        <v>2023</v>
      </c>
      <c r="C256" s="3" t="s">
        <v>307</v>
      </c>
      <c r="D256" s="3">
        <v>9</v>
      </c>
      <c r="E256" s="3" t="s">
        <v>310</v>
      </c>
      <c r="F256" s="3" t="s">
        <v>294</v>
      </c>
      <c r="G256" s="35">
        <v>1</v>
      </c>
    </row>
    <row r="257" spans="1:7" x14ac:dyDescent="0.25">
      <c r="A257" s="34">
        <v>45180</v>
      </c>
      <c r="B257" s="3">
        <v>2023</v>
      </c>
      <c r="C257" s="3" t="s">
        <v>307</v>
      </c>
      <c r="D257" s="3">
        <v>9</v>
      </c>
      <c r="E257" s="3" t="s">
        <v>310</v>
      </c>
      <c r="F257" s="3" t="s">
        <v>295</v>
      </c>
      <c r="G257" s="36">
        <v>0</v>
      </c>
    </row>
    <row r="258" spans="1:7" x14ac:dyDescent="0.25">
      <c r="A258" s="34">
        <v>45181</v>
      </c>
      <c r="B258" s="3">
        <v>2023</v>
      </c>
      <c r="C258" s="3" t="s">
        <v>307</v>
      </c>
      <c r="D258" s="3">
        <v>9</v>
      </c>
      <c r="E258" s="3" t="s">
        <v>310</v>
      </c>
      <c r="F258" s="3" t="s">
        <v>296</v>
      </c>
      <c r="G258" s="36">
        <v>0</v>
      </c>
    </row>
    <row r="259" spans="1:7" x14ac:dyDescent="0.25">
      <c r="A259" s="34">
        <v>45182</v>
      </c>
      <c r="B259" s="3">
        <v>2023</v>
      </c>
      <c r="C259" s="3" t="s">
        <v>307</v>
      </c>
      <c r="D259" s="3">
        <v>9</v>
      </c>
      <c r="E259" s="3" t="s">
        <v>310</v>
      </c>
      <c r="F259" s="3" t="s">
        <v>297</v>
      </c>
      <c r="G259" s="36">
        <v>0</v>
      </c>
    </row>
    <row r="260" spans="1:7" x14ac:dyDescent="0.25">
      <c r="A260" s="34">
        <v>45183</v>
      </c>
      <c r="B260" s="3">
        <v>2023</v>
      </c>
      <c r="C260" s="3" t="s">
        <v>307</v>
      </c>
      <c r="D260" s="3">
        <v>9</v>
      </c>
      <c r="E260" s="3" t="s">
        <v>310</v>
      </c>
      <c r="F260" s="3" t="s">
        <v>298</v>
      </c>
      <c r="G260" s="36">
        <v>0</v>
      </c>
    </row>
    <row r="261" spans="1:7" x14ac:dyDescent="0.25">
      <c r="A261" s="34">
        <v>45184</v>
      </c>
      <c r="B261" s="3">
        <v>2023</v>
      </c>
      <c r="C261" s="3" t="s">
        <v>307</v>
      </c>
      <c r="D261" s="3">
        <v>9</v>
      </c>
      <c r="E261" s="3" t="s">
        <v>310</v>
      </c>
      <c r="F261" s="3" t="s">
        <v>299</v>
      </c>
      <c r="G261" s="36">
        <v>0</v>
      </c>
    </row>
    <row r="262" spans="1:7" x14ac:dyDescent="0.25">
      <c r="A262" s="34">
        <v>45185</v>
      </c>
      <c r="B262" s="3">
        <v>2023</v>
      </c>
      <c r="C262" s="3" t="s">
        <v>307</v>
      </c>
      <c r="D262" s="3">
        <v>9</v>
      </c>
      <c r="E262" s="3" t="s">
        <v>310</v>
      </c>
      <c r="F262" s="3" t="s">
        <v>300</v>
      </c>
      <c r="G262" s="35">
        <v>1</v>
      </c>
    </row>
    <row r="263" spans="1:7" x14ac:dyDescent="0.25">
      <c r="A263" s="34">
        <v>45186</v>
      </c>
      <c r="B263" s="3">
        <v>2023</v>
      </c>
      <c r="C263" s="3" t="s">
        <v>307</v>
      </c>
      <c r="D263" s="3">
        <v>9</v>
      </c>
      <c r="E263" s="3" t="s">
        <v>310</v>
      </c>
      <c r="F263" s="3" t="s">
        <v>294</v>
      </c>
      <c r="G263" s="35">
        <v>1</v>
      </c>
    </row>
    <row r="264" spans="1:7" x14ac:dyDescent="0.25">
      <c r="A264" s="34">
        <v>45187</v>
      </c>
      <c r="B264" s="3">
        <v>2023</v>
      </c>
      <c r="C264" s="3" t="s">
        <v>307</v>
      </c>
      <c r="D264" s="3">
        <v>9</v>
      </c>
      <c r="E264" s="3" t="s">
        <v>310</v>
      </c>
      <c r="F264" s="3" t="s">
        <v>295</v>
      </c>
      <c r="G264" s="36">
        <v>0</v>
      </c>
    </row>
    <row r="265" spans="1:7" x14ac:dyDescent="0.25">
      <c r="A265" s="34">
        <v>45188</v>
      </c>
      <c r="B265" s="3">
        <v>2023</v>
      </c>
      <c r="C265" s="3" t="s">
        <v>307</v>
      </c>
      <c r="D265" s="3">
        <v>9</v>
      </c>
      <c r="E265" s="3" t="s">
        <v>310</v>
      </c>
      <c r="F265" s="3" t="s">
        <v>296</v>
      </c>
      <c r="G265" s="36">
        <v>0</v>
      </c>
    </row>
    <row r="266" spans="1:7" x14ac:dyDescent="0.25">
      <c r="A266" s="34">
        <v>45189</v>
      </c>
      <c r="B266" s="3">
        <v>2023</v>
      </c>
      <c r="C266" s="3" t="s">
        <v>307</v>
      </c>
      <c r="D266" s="3">
        <v>9</v>
      </c>
      <c r="E266" s="3" t="s">
        <v>310</v>
      </c>
      <c r="F266" s="3" t="s">
        <v>297</v>
      </c>
      <c r="G266" s="36">
        <v>0</v>
      </c>
    </row>
    <row r="267" spans="1:7" x14ac:dyDescent="0.25">
      <c r="A267" s="34">
        <v>45190</v>
      </c>
      <c r="B267" s="3">
        <v>2023</v>
      </c>
      <c r="C267" s="3" t="s">
        <v>307</v>
      </c>
      <c r="D267" s="3">
        <v>9</v>
      </c>
      <c r="E267" s="3" t="s">
        <v>310</v>
      </c>
      <c r="F267" s="3" t="s">
        <v>298</v>
      </c>
      <c r="G267" s="36">
        <v>0</v>
      </c>
    </row>
    <row r="268" spans="1:7" x14ac:dyDescent="0.25">
      <c r="A268" s="34">
        <v>45191</v>
      </c>
      <c r="B268" s="3">
        <v>2023</v>
      </c>
      <c r="C268" s="3" t="s">
        <v>307</v>
      </c>
      <c r="D268" s="3">
        <v>9</v>
      </c>
      <c r="E268" s="3" t="s">
        <v>310</v>
      </c>
      <c r="F268" s="3" t="s">
        <v>299</v>
      </c>
      <c r="G268" s="36">
        <v>0</v>
      </c>
    </row>
    <row r="269" spans="1:7" x14ac:dyDescent="0.25">
      <c r="A269" s="34">
        <v>45192</v>
      </c>
      <c r="B269" s="3">
        <v>2023</v>
      </c>
      <c r="C269" s="3" t="s">
        <v>307</v>
      </c>
      <c r="D269" s="3">
        <v>9</v>
      </c>
      <c r="E269" s="3" t="s">
        <v>310</v>
      </c>
      <c r="F269" s="3" t="s">
        <v>300</v>
      </c>
      <c r="G269" s="35">
        <v>1</v>
      </c>
    </row>
    <row r="270" spans="1:7" x14ac:dyDescent="0.25">
      <c r="A270" s="34">
        <v>45193</v>
      </c>
      <c r="B270" s="3">
        <v>2023</v>
      </c>
      <c r="C270" s="3" t="s">
        <v>307</v>
      </c>
      <c r="D270" s="3">
        <v>9</v>
      </c>
      <c r="E270" s="3" t="s">
        <v>310</v>
      </c>
      <c r="F270" s="3" t="s">
        <v>294</v>
      </c>
      <c r="G270" s="35">
        <v>1</v>
      </c>
    </row>
    <row r="271" spans="1:7" x14ac:dyDescent="0.25">
      <c r="A271" s="34">
        <v>45194</v>
      </c>
      <c r="B271" s="3">
        <v>2023</v>
      </c>
      <c r="C271" s="3" t="s">
        <v>307</v>
      </c>
      <c r="D271" s="3">
        <v>9</v>
      </c>
      <c r="E271" s="3" t="s">
        <v>310</v>
      </c>
      <c r="F271" s="3" t="s">
        <v>295</v>
      </c>
      <c r="G271" s="36">
        <v>0</v>
      </c>
    </row>
    <row r="272" spans="1:7" x14ac:dyDescent="0.25">
      <c r="A272" s="34">
        <v>45195</v>
      </c>
      <c r="B272" s="3">
        <v>2023</v>
      </c>
      <c r="C272" s="3" t="s">
        <v>307</v>
      </c>
      <c r="D272" s="3">
        <v>9</v>
      </c>
      <c r="E272" s="3" t="s">
        <v>310</v>
      </c>
      <c r="F272" s="3" t="s">
        <v>296</v>
      </c>
      <c r="G272" s="36">
        <v>0</v>
      </c>
    </row>
    <row r="273" spans="1:7" x14ac:dyDescent="0.25">
      <c r="A273" s="34">
        <v>45196</v>
      </c>
      <c r="B273" s="3">
        <v>2023</v>
      </c>
      <c r="C273" s="3" t="s">
        <v>307</v>
      </c>
      <c r="D273" s="3">
        <v>9</v>
      </c>
      <c r="E273" s="3" t="s">
        <v>310</v>
      </c>
      <c r="F273" s="3" t="s">
        <v>297</v>
      </c>
      <c r="G273" s="36">
        <v>0</v>
      </c>
    </row>
    <row r="274" spans="1:7" x14ac:dyDescent="0.25">
      <c r="A274" s="34">
        <v>45197</v>
      </c>
      <c r="B274" s="3">
        <v>2023</v>
      </c>
      <c r="C274" s="3" t="s">
        <v>307</v>
      </c>
      <c r="D274" s="3">
        <v>9</v>
      </c>
      <c r="E274" s="3" t="s">
        <v>310</v>
      </c>
      <c r="F274" s="3" t="s">
        <v>298</v>
      </c>
      <c r="G274" s="36">
        <v>0</v>
      </c>
    </row>
    <row r="275" spans="1:7" x14ac:dyDescent="0.25">
      <c r="A275" s="34">
        <v>45198</v>
      </c>
      <c r="B275" s="3">
        <v>2023</v>
      </c>
      <c r="C275" s="3" t="s">
        <v>307</v>
      </c>
      <c r="D275" s="3">
        <v>9</v>
      </c>
      <c r="E275" s="3" t="s">
        <v>310</v>
      </c>
      <c r="F275" s="3" t="s">
        <v>299</v>
      </c>
      <c r="G275" s="36">
        <v>0</v>
      </c>
    </row>
    <row r="276" spans="1:7" x14ac:dyDescent="0.25">
      <c r="A276" s="34">
        <v>45199</v>
      </c>
      <c r="B276" s="3">
        <v>2023</v>
      </c>
      <c r="C276" s="3" t="s">
        <v>307</v>
      </c>
      <c r="D276" s="3">
        <v>9</v>
      </c>
      <c r="E276" s="3" t="s">
        <v>310</v>
      </c>
      <c r="F276" s="3" t="s">
        <v>300</v>
      </c>
      <c r="G276" s="35">
        <v>1</v>
      </c>
    </row>
    <row r="277" spans="1:7" x14ac:dyDescent="0.25">
      <c r="A277" s="34">
        <v>45200</v>
      </c>
      <c r="B277" s="3">
        <v>2023</v>
      </c>
      <c r="C277" s="3" t="s">
        <v>311</v>
      </c>
      <c r="D277" s="3">
        <v>10</v>
      </c>
      <c r="E277" s="3" t="s">
        <v>312</v>
      </c>
      <c r="F277" s="3" t="s">
        <v>294</v>
      </c>
      <c r="G277" s="35">
        <v>1</v>
      </c>
    </row>
    <row r="278" spans="1:7" x14ac:dyDescent="0.25">
      <c r="A278" s="34">
        <v>45201</v>
      </c>
      <c r="B278" s="3">
        <v>2023</v>
      </c>
      <c r="C278" s="3" t="s">
        <v>311</v>
      </c>
      <c r="D278" s="3">
        <v>10</v>
      </c>
      <c r="E278" s="3" t="s">
        <v>312</v>
      </c>
      <c r="F278" s="3" t="s">
        <v>295</v>
      </c>
      <c r="G278" s="36">
        <v>0</v>
      </c>
    </row>
    <row r="279" spans="1:7" x14ac:dyDescent="0.25">
      <c r="A279" s="34">
        <v>45202</v>
      </c>
      <c r="B279" s="3">
        <v>2023</v>
      </c>
      <c r="C279" s="3" t="s">
        <v>311</v>
      </c>
      <c r="D279" s="3">
        <v>10</v>
      </c>
      <c r="E279" s="3" t="s">
        <v>312</v>
      </c>
      <c r="F279" s="3" t="s">
        <v>296</v>
      </c>
      <c r="G279" s="36">
        <v>0</v>
      </c>
    </row>
    <row r="280" spans="1:7" x14ac:dyDescent="0.25">
      <c r="A280" s="34">
        <v>45203</v>
      </c>
      <c r="B280" s="3">
        <v>2023</v>
      </c>
      <c r="C280" s="3" t="s">
        <v>311</v>
      </c>
      <c r="D280" s="3">
        <v>10</v>
      </c>
      <c r="E280" s="3" t="s">
        <v>312</v>
      </c>
      <c r="F280" s="3" t="s">
        <v>297</v>
      </c>
      <c r="G280" s="36">
        <v>0</v>
      </c>
    </row>
    <row r="281" spans="1:7" x14ac:dyDescent="0.25">
      <c r="A281" s="34">
        <v>45204</v>
      </c>
      <c r="B281" s="3">
        <v>2023</v>
      </c>
      <c r="C281" s="3" t="s">
        <v>311</v>
      </c>
      <c r="D281" s="3">
        <v>10</v>
      </c>
      <c r="E281" s="3" t="s">
        <v>312</v>
      </c>
      <c r="F281" s="3" t="s">
        <v>298</v>
      </c>
      <c r="G281" s="36">
        <v>0</v>
      </c>
    </row>
    <row r="282" spans="1:7" x14ac:dyDescent="0.25">
      <c r="A282" s="34">
        <v>45205</v>
      </c>
      <c r="B282" s="3">
        <v>2023</v>
      </c>
      <c r="C282" s="3" t="s">
        <v>311</v>
      </c>
      <c r="D282" s="3">
        <v>10</v>
      </c>
      <c r="E282" s="3" t="s">
        <v>312</v>
      </c>
      <c r="F282" s="3" t="s">
        <v>299</v>
      </c>
      <c r="G282" s="36">
        <v>0</v>
      </c>
    </row>
    <row r="283" spans="1:7" x14ac:dyDescent="0.25">
      <c r="A283" s="34">
        <v>45206</v>
      </c>
      <c r="B283" s="3">
        <v>2023</v>
      </c>
      <c r="C283" s="3" t="s">
        <v>311</v>
      </c>
      <c r="D283" s="3">
        <v>10</v>
      </c>
      <c r="E283" s="3" t="s">
        <v>312</v>
      </c>
      <c r="F283" s="3" t="s">
        <v>300</v>
      </c>
      <c r="G283" s="35">
        <v>1</v>
      </c>
    </row>
    <row r="284" spans="1:7" x14ac:dyDescent="0.25">
      <c r="A284" s="34">
        <v>45207</v>
      </c>
      <c r="B284" s="3">
        <v>2023</v>
      </c>
      <c r="C284" s="3" t="s">
        <v>311</v>
      </c>
      <c r="D284" s="3">
        <v>10</v>
      </c>
      <c r="E284" s="3" t="s">
        <v>312</v>
      </c>
      <c r="F284" s="3" t="s">
        <v>294</v>
      </c>
      <c r="G284" s="35">
        <v>1</v>
      </c>
    </row>
    <row r="285" spans="1:7" x14ac:dyDescent="0.25">
      <c r="A285" s="34">
        <v>45208</v>
      </c>
      <c r="B285" s="3">
        <v>2023</v>
      </c>
      <c r="C285" s="3" t="s">
        <v>311</v>
      </c>
      <c r="D285" s="3">
        <v>10</v>
      </c>
      <c r="E285" s="3" t="s">
        <v>312</v>
      </c>
      <c r="F285" s="3" t="s">
        <v>295</v>
      </c>
      <c r="G285" s="36">
        <v>0</v>
      </c>
    </row>
    <row r="286" spans="1:7" x14ac:dyDescent="0.25">
      <c r="A286" s="34">
        <v>45209</v>
      </c>
      <c r="B286" s="3">
        <v>2023</v>
      </c>
      <c r="C286" s="3" t="s">
        <v>311</v>
      </c>
      <c r="D286" s="3">
        <v>10</v>
      </c>
      <c r="E286" s="3" t="s">
        <v>312</v>
      </c>
      <c r="F286" s="3" t="s">
        <v>296</v>
      </c>
      <c r="G286" s="36">
        <v>0</v>
      </c>
    </row>
    <row r="287" spans="1:7" x14ac:dyDescent="0.25">
      <c r="A287" s="34">
        <v>45210</v>
      </c>
      <c r="B287" s="3">
        <v>2023</v>
      </c>
      <c r="C287" s="3" t="s">
        <v>311</v>
      </c>
      <c r="D287" s="3">
        <v>10</v>
      </c>
      <c r="E287" s="3" t="s">
        <v>312</v>
      </c>
      <c r="F287" s="3" t="s">
        <v>297</v>
      </c>
      <c r="G287" s="36">
        <v>0</v>
      </c>
    </row>
    <row r="288" spans="1:7" x14ac:dyDescent="0.25">
      <c r="A288" s="34">
        <v>45211</v>
      </c>
      <c r="B288" s="3">
        <v>2023</v>
      </c>
      <c r="C288" s="3" t="s">
        <v>311</v>
      </c>
      <c r="D288" s="3">
        <v>10</v>
      </c>
      <c r="E288" s="3" t="s">
        <v>312</v>
      </c>
      <c r="F288" s="3" t="s">
        <v>298</v>
      </c>
      <c r="G288" s="36">
        <v>0</v>
      </c>
    </row>
    <row r="289" spans="1:7" x14ac:dyDescent="0.25">
      <c r="A289" s="34">
        <v>45212</v>
      </c>
      <c r="B289" s="3">
        <v>2023</v>
      </c>
      <c r="C289" s="3" t="s">
        <v>311</v>
      </c>
      <c r="D289" s="3">
        <v>10</v>
      </c>
      <c r="E289" s="3" t="s">
        <v>312</v>
      </c>
      <c r="F289" s="3" t="s">
        <v>299</v>
      </c>
      <c r="G289" s="36">
        <v>0</v>
      </c>
    </row>
    <row r="290" spans="1:7" x14ac:dyDescent="0.25">
      <c r="A290" s="34">
        <v>45213</v>
      </c>
      <c r="B290" s="3">
        <v>2023</v>
      </c>
      <c r="C290" s="3" t="s">
        <v>311</v>
      </c>
      <c r="D290" s="3">
        <v>10</v>
      </c>
      <c r="E290" s="3" t="s">
        <v>312</v>
      </c>
      <c r="F290" s="3" t="s">
        <v>300</v>
      </c>
      <c r="G290" s="35">
        <v>1</v>
      </c>
    </row>
    <row r="291" spans="1:7" x14ac:dyDescent="0.25">
      <c r="A291" s="34">
        <v>45214</v>
      </c>
      <c r="B291" s="3">
        <v>2023</v>
      </c>
      <c r="C291" s="3" t="s">
        <v>311</v>
      </c>
      <c r="D291" s="3">
        <v>10</v>
      </c>
      <c r="E291" s="3" t="s">
        <v>312</v>
      </c>
      <c r="F291" s="3" t="s">
        <v>294</v>
      </c>
      <c r="G291" s="35">
        <v>1</v>
      </c>
    </row>
    <row r="292" spans="1:7" x14ac:dyDescent="0.25">
      <c r="A292" s="34">
        <v>45215</v>
      </c>
      <c r="B292" s="3">
        <v>2023</v>
      </c>
      <c r="C292" s="3" t="s">
        <v>311</v>
      </c>
      <c r="D292" s="3">
        <v>10</v>
      </c>
      <c r="E292" s="3" t="s">
        <v>312</v>
      </c>
      <c r="F292" s="3" t="s">
        <v>295</v>
      </c>
      <c r="G292" s="36">
        <v>0</v>
      </c>
    </row>
    <row r="293" spans="1:7" x14ac:dyDescent="0.25">
      <c r="A293" s="34">
        <v>45216</v>
      </c>
      <c r="B293" s="3">
        <v>2023</v>
      </c>
      <c r="C293" s="3" t="s">
        <v>311</v>
      </c>
      <c r="D293" s="3">
        <v>10</v>
      </c>
      <c r="E293" s="3" t="s">
        <v>312</v>
      </c>
      <c r="F293" s="3" t="s">
        <v>296</v>
      </c>
      <c r="G293" s="36">
        <v>0</v>
      </c>
    </row>
    <row r="294" spans="1:7" x14ac:dyDescent="0.25">
      <c r="A294" s="34">
        <v>45217</v>
      </c>
      <c r="B294" s="3">
        <v>2023</v>
      </c>
      <c r="C294" s="3" t="s">
        <v>311</v>
      </c>
      <c r="D294" s="3">
        <v>10</v>
      </c>
      <c r="E294" s="3" t="s">
        <v>312</v>
      </c>
      <c r="F294" s="3" t="s">
        <v>297</v>
      </c>
      <c r="G294" s="36">
        <v>0</v>
      </c>
    </row>
    <row r="295" spans="1:7" x14ac:dyDescent="0.25">
      <c r="A295" s="34">
        <v>45218</v>
      </c>
      <c r="B295" s="3">
        <v>2023</v>
      </c>
      <c r="C295" s="3" t="s">
        <v>311</v>
      </c>
      <c r="D295" s="3">
        <v>10</v>
      </c>
      <c r="E295" s="3" t="s">
        <v>312</v>
      </c>
      <c r="F295" s="3" t="s">
        <v>298</v>
      </c>
      <c r="G295" s="36">
        <v>0</v>
      </c>
    </row>
    <row r="296" spans="1:7" x14ac:dyDescent="0.25">
      <c r="A296" s="34">
        <v>45219</v>
      </c>
      <c r="B296" s="3">
        <v>2023</v>
      </c>
      <c r="C296" s="3" t="s">
        <v>311</v>
      </c>
      <c r="D296" s="3">
        <v>10</v>
      </c>
      <c r="E296" s="3" t="s">
        <v>312</v>
      </c>
      <c r="F296" s="3" t="s">
        <v>299</v>
      </c>
      <c r="G296" s="36">
        <v>0</v>
      </c>
    </row>
    <row r="297" spans="1:7" x14ac:dyDescent="0.25">
      <c r="A297" s="34">
        <v>45220</v>
      </c>
      <c r="B297" s="3">
        <v>2023</v>
      </c>
      <c r="C297" s="3" t="s">
        <v>311</v>
      </c>
      <c r="D297" s="3">
        <v>10</v>
      </c>
      <c r="E297" s="3" t="s">
        <v>312</v>
      </c>
      <c r="F297" s="3" t="s">
        <v>300</v>
      </c>
      <c r="G297" s="35">
        <v>1</v>
      </c>
    </row>
    <row r="298" spans="1:7" x14ac:dyDescent="0.25">
      <c r="A298" s="34">
        <v>45221</v>
      </c>
      <c r="B298" s="3">
        <v>2023</v>
      </c>
      <c r="C298" s="3" t="s">
        <v>311</v>
      </c>
      <c r="D298" s="3">
        <v>10</v>
      </c>
      <c r="E298" s="3" t="s">
        <v>312</v>
      </c>
      <c r="F298" s="3" t="s">
        <v>294</v>
      </c>
      <c r="G298" s="35">
        <v>1</v>
      </c>
    </row>
    <row r="299" spans="1:7" x14ac:dyDescent="0.25">
      <c r="A299" s="34">
        <v>45222</v>
      </c>
      <c r="B299" s="3">
        <v>2023</v>
      </c>
      <c r="C299" s="3" t="s">
        <v>311</v>
      </c>
      <c r="D299" s="3">
        <v>10</v>
      </c>
      <c r="E299" s="3" t="s">
        <v>312</v>
      </c>
      <c r="F299" s="3" t="s">
        <v>295</v>
      </c>
      <c r="G299" s="36">
        <v>0</v>
      </c>
    </row>
    <row r="300" spans="1:7" x14ac:dyDescent="0.25">
      <c r="A300" s="34">
        <v>45223</v>
      </c>
      <c r="B300" s="3">
        <v>2023</v>
      </c>
      <c r="C300" s="3" t="s">
        <v>311</v>
      </c>
      <c r="D300" s="3">
        <v>10</v>
      </c>
      <c r="E300" s="3" t="s">
        <v>312</v>
      </c>
      <c r="F300" s="3" t="s">
        <v>296</v>
      </c>
      <c r="G300" s="36">
        <v>0</v>
      </c>
    </row>
    <row r="301" spans="1:7" x14ac:dyDescent="0.25">
      <c r="A301" s="34">
        <v>45224</v>
      </c>
      <c r="B301" s="3">
        <v>2023</v>
      </c>
      <c r="C301" s="3" t="s">
        <v>311</v>
      </c>
      <c r="D301" s="3">
        <v>10</v>
      </c>
      <c r="E301" s="3" t="s">
        <v>312</v>
      </c>
      <c r="F301" s="3" t="s">
        <v>297</v>
      </c>
      <c r="G301" s="36">
        <v>0</v>
      </c>
    </row>
    <row r="302" spans="1:7" x14ac:dyDescent="0.25">
      <c r="A302" s="34">
        <v>45225</v>
      </c>
      <c r="B302" s="3">
        <v>2023</v>
      </c>
      <c r="C302" s="3" t="s">
        <v>311</v>
      </c>
      <c r="D302" s="3">
        <v>10</v>
      </c>
      <c r="E302" s="3" t="s">
        <v>312</v>
      </c>
      <c r="F302" s="3" t="s">
        <v>298</v>
      </c>
      <c r="G302" s="36">
        <v>0</v>
      </c>
    </row>
    <row r="303" spans="1:7" x14ac:dyDescent="0.25">
      <c r="A303" s="34">
        <v>45226</v>
      </c>
      <c r="B303" s="3">
        <v>2023</v>
      </c>
      <c r="C303" s="3" t="s">
        <v>311</v>
      </c>
      <c r="D303" s="3">
        <v>10</v>
      </c>
      <c r="E303" s="3" t="s">
        <v>312</v>
      </c>
      <c r="F303" s="3" t="s">
        <v>299</v>
      </c>
      <c r="G303" s="36">
        <v>0</v>
      </c>
    </row>
    <row r="304" spans="1:7" x14ac:dyDescent="0.25">
      <c r="A304" s="34">
        <v>45227</v>
      </c>
      <c r="B304" s="3">
        <v>2023</v>
      </c>
      <c r="C304" s="3" t="s">
        <v>311</v>
      </c>
      <c r="D304" s="3">
        <v>10</v>
      </c>
      <c r="E304" s="3" t="s">
        <v>312</v>
      </c>
      <c r="F304" s="3" t="s">
        <v>300</v>
      </c>
      <c r="G304" s="35">
        <v>1</v>
      </c>
    </row>
    <row r="305" spans="1:7" x14ac:dyDescent="0.25">
      <c r="A305" s="34">
        <v>45228</v>
      </c>
      <c r="B305" s="3">
        <v>2023</v>
      </c>
      <c r="C305" s="3" t="s">
        <v>311</v>
      </c>
      <c r="D305" s="3">
        <v>10</v>
      </c>
      <c r="E305" s="3" t="s">
        <v>312</v>
      </c>
      <c r="F305" s="3" t="s">
        <v>294</v>
      </c>
      <c r="G305" s="35">
        <v>1</v>
      </c>
    </row>
    <row r="306" spans="1:7" x14ac:dyDescent="0.25">
      <c r="A306" s="34">
        <v>45229</v>
      </c>
      <c r="B306" s="3">
        <v>2023</v>
      </c>
      <c r="C306" s="3" t="s">
        <v>311</v>
      </c>
      <c r="D306" s="3">
        <v>10</v>
      </c>
      <c r="E306" s="3" t="s">
        <v>312</v>
      </c>
      <c r="F306" s="3" t="s">
        <v>295</v>
      </c>
      <c r="G306" s="36">
        <v>0</v>
      </c>
    </row>
    <row r="307" spans="1:7" x14ac:dyDescent="0.25">
      <c r="A307" s="34">
        <v>45230</v>
      </c>
      <c r="B307" s="3">
        <v>2023</v>
      </c>
      <c r="C307" s="3" t="s">
        <v>311</v>
      </c>
      <c r="D307" s="3">
        <v>10</v>
      </c>
      <c r="E307" s="3" t="s">
        <v>312</v>
      </c>
      <c r="F307" s="3" t="s">
        <v>296</v>
      </c>
      <c r="G307" s="36">
        <v>0</v>
      </c>
    </row>
    <row r="308" spans="1:7" x14ac:dyDescent="0.25">
      <c r="A308" s="34">
        <v>45231</v>
      </c>
      <c r="B308" s="3">
        <v>2023</v>
      </c>
      <c r="C308" s="3" t="s">
        <v>311</v>
      </c>
      <c r="D308" s="3">
        <v>11</v>
      </c>
      <c r="E308" s="3" t="s">
        <v>313</v>
      </c>
      <c r="F308" s="3" t="s">
        <v>297</v>
      </c>
      <c r="G308" s="36">
        <v>0</v>
      </c>
    </row>
    <row r="309" spans="1:7" x14ac:dyDescent="0.25">
      <c r="A309" s="34">
        <v>45232</v>
      </c>
      <c r="B309" s="3">
        <v>2023</v>
      </c>
      <c r="C309" s="3" t="s">
        <v>311</v>
      </c>
      <c r="D309" s="3">
        <v>11</v>
      </c>
      <c r="E309" s="3" t="s">
        <v>313</v>
      </c>
      <c r="F309" s="3" t="s">
        <v>298</v>
      </c>
      <c r="G309" s="36">
        <v>0</v>
      </c>
    </row>
    <row r="310" spans="1:7" x14ac:dyDescent="0.25">
      <c r="A310" s="34">
        <v>45233</v>
      </c>
      <c r="B310" s="3">
        <v>2023</v>
      </c>
      <c r="C310" s="3" t="s">
        <v>311</v>
      </c>
      <c r="D310" s="3">
        <v>11</v>
      </c>
      <c r="E310" s="3" t="s">
        <v>313</v>
      </c>
      <c r="F310" s="3" t="s">
        <v>299</v>
      </c>
      <c r="G310" s="36">
        <v>0</v>
      </c>
    </row>
    <row r="311" spans="1:7" x14ac:dyDescent="0.25">
      <c r="A311" s="34">
        <v>45234</v>
      </c>
      <c r="B311" s="3">
        <v>2023</v>
      </c>
      <c r="C311" s="3" t="s">
        <v>311</v>
      </c>
      <c r="D311" s="3">
        <v>11</v>
      </c>
      <c r="E311" s="3" t="s">
        <v>313</v>
      </c>
      <c r="F311" s="3" t="s">
        <v>300</v>
      </c>
      <c r="G311" s="35">
        <v>1</v>
      </c>
    </row>
    <row r="312" spans="1:7" x14ac:dyDescent="0.25">
      <c r="A312" s="34">
        <v>45235</v>
      </c>
      <c r="B312" s="3">
        <v>2023</v>
      </c>
      <c r="C312" s="3" t="s">
        <v>311</v>
      </c>
      <c r="D312" s="3">
        <v>11</v>
      </c>
      <c r="E312" s="3" t="s">
        <v>313</v>
      </c>
      <c r="F312" s="3" t="s">
        <v>294</v>
      </c>
      <c r="G312" s="35">
        <v>1</v>
      </c>
    </row>
    <row r="313" spans="1:7" x14ac:dyDescent="0.25">
      <c r="A313" s="34">
        <v>45236</v>
      </c>
      <c r="B313" s="3">
        <v>2023</v>
      </c>
      <c r="C313" s="3" t="s">
        <v>311</v>
      </c>
      <c r="D313" s="3">
        <v>11</v>
      </c>
      <c r="E313" s="3" t="s">
        <v>313</v>
      </c>
      <c r="F313" s="3" t="s">
        <v>295</v>
      </c>
      <c r="G313" s="36">
        <v>0</v>
      </c>
    </row>
    <row r="314" spans="1:7" x14ac:dyDescent="0.25">
      <c r="A314" s="34">
        <v>45237</v>
      </c>
      <c r="B314" s="3">
        <v>2023</v>
      </c>
      <c r="C314" s="3" t="s">
        <v>311</v>
      </c>
      <c r="D314" s="3">
        <v>11</v>
      </c>
      <c r="E314" s="3" t="s">
        <v>313</v>
      </c>
      <c r="F314" s="3" t="s">
        <v>296</v>
      </c>
      <c r="G314" s="36">
        <v>0</v>
      </c>
    </row>
    <row r="315" spans="1:7" x14ac:dyDescent="0.25">
      <c r="A315" s="34">
        <v>45238</v>
      </c>
      <c r="B315" s="3">
        <v>2023</v>
      </c>
      <c r="C315" s="3" t="s">
        <v>311</v>
      </c>
      <c r="D315" s="3">
        <v>11</v>
      </c>
      <c r="E315" s="3" t="s">
        <v>313</v>
      </c>
      <c r="F315" s="3" t="s">
        <v>297</v>
      </c>
      <c r="G315" s="36">
        <v>0</v>
      </c>
    </row>
    <row r="316" spans="1:7" x14ac:dyDescent="0.25">
      <c r="A316" s="34">
        <v>45239</v>
      </c>
      <c r="B316" s="3">
        <v>2023</v>
      </c>
      <c r="C316" s="3" t="s">
        <v>311</v>
      </c>
      <c r="D316" s="3">
        <v>11</v>
      </c>
      <c r="E316" s="3" t="s">
        <v>313</v>
      </c>
      <c r="F316" s="3" t="s">
        <v>298</v>
      </c>
      <c r="G316" s="36">
        <v>0</v>
      </c>
    </row>
    <row r="317" spans="1:7" x14ac:dyDescent="0.25">
      <c r="A317" s="34">
        <v>45240</v>
      </c>
      <c r="B317" s="3">
        <v>2023</v>
      </c>
      <c r="C317" s="3" t="s">
        <v>311</v>
      </c>
      <c r="D317" s="3">
        <v>11</v>
      </c>
      <c r="E317" s="3" t="s">
        <v>313</v>
      </c>
      <c r="F317" s="3" t="s">
        <v>299</v>
      </c>
      <c r="G317" s="36">
        <v>0</v>
      </c>
    </row>
    <row r="318" spans="1:7" x14ac:dyDescent="0.25">
      <c r="A318" s="34">
        <v>45241</v>
      </c>
      <c r="B318" s="3">
        <v>2023</v>
      </c>
      <c r="C318" s="3" t="s">
        <v>311</v>
      </c>
      <c r="D318" s="3">
        <v>11</v>
      </c>
      <c r="E318" s="3" t="s">
        <v>313</v>
      </c>
      <c r="F318" s="3" t="s">
        <v>300</v>
      </c>
      <c r="G318" s="35">
        <v>1</v>
      </c>
    </row>
    <row r="319" spans="1:7" x14ac:dyDescent="0.25">
      <c r="A319" s="34">
        <v>45242</v>
      </c>
      <c r="B319" s="3">
        <v>2023</v>
      </c>
      <c r="C319" s="3" t="s">
        <v>311</v>
      </c>
      <c r="D319" s="3">
        <v>11</v>
      </c>
      <c r="E319" s="3" t="s">
        <v>313</v>
      </c>
      <c r="F319" s="3" t="s">
        <v>294</v>
      </c>
      <c r="G319" s="35">
        <v>1</v>
      </c>
    </row>
    <row r="320" spans="1:7" x14ac:dyDescent="0.25">
      <c r="A320" s="34">
        <v>45243</v>
      </c>
      <c r="B320" s="3">
        <v>2023</v>
      </c>
      <c r="C320" s="3" t="s">
        <v>311</v>
      </c>
      <c r="D320" s="3">
        <v>11</v>
      </c>
      <c r="E320" s="3" t="s">
        <v>313</v>
      </c>
      <c r="F320" s="3" t="s">
        <v>295</v>
      </c>
      <c r="G320" s="36">
        <v>0</v>
      </c>
    </row>
    <row r="321" spans="1:7" x14ac:dyDescent="0.25">
      <c r="A321" s="34">
        <v>45244</v>
      </c>
      <c r="B321" s="3">
        <v>2023</v>
      </c>
      <c r="C321" s="3" t="s">
        <v>311</v>
      </c>
      <c r="D321" s="3">
        <v>11</v>
      </c>
      <c r="E321" s="3" t="s">
        <v>313</v>
      </c>
      <c r="F321" s="3" t="s">
        <v>296</v>
      </c>
      <c r="G321" s="36">
        <v>0</v>
      </c>
    </row>
    <row r="322" spans="1:7" x14ac:dyDescent="0.25">
      <c r="A322" s="34">
        <v>45245</v>
      </c>
      <c r="B322" s="3">
        <v>2023</v>
      </c>
      <c r="C322" s="3" t="s">
        <v>311</v>
      </c>
      <c r="D322" s="3">
        <v>11</v>
      </c>
      <c r="E322" s="3" t="s">
        <v>313</v>
      </c>
      <c r="F322" s="3" t="s">
        <v>297</v>
      </c>
      <c r="G322" s="36">
        <v>0</v>
      </c>
    </row>
    <row r="323" spans="1:7" x14ac:dyDescent="0.25">
      <c r="A323" s="34">
        <v>45246</v>
      </c>
      <c r="B323" s="3">
        <v>2023</v>
      </c>
      <c r="C323" s="3" t="s">
        <v>311</v>
      </c>
      <c r="D323" s="3">
        <v>11</v>
      </c>
      <c r="E323" s="3" t="s">
        <v>313</v>
      </c>
      <c r="F323" s="3" t="s">
        <v>298</v>
      </c>
      <c r="G323" s="36">
        <v>0</v>
      </c>
    </row>
    <row r="324" spans="1:7" x14ac:dyDescent="0.25">
      <c r="A324" s="34">
        <v>45247</v>
      </c>
      <c r="B324" s="3">
        <v>2023</v>
      </c>
      <c r="C324" s="3" t="s">
        <v>311</v>
      </c>
      <c r="D324" s="3">
        <v>11</v>
      </c>
      <c r="E324" s="3" t="s">
        <v>313</v>
      </c>
      <c r="F324" s="3" t="s">
        <v>299</v>
      </c>
      <c r="G324" s="36">
        <v>0</v>
      </c>
    </row>
    <row r="325" spans="1:7" x14ac:dyDescent="0.25">
      <c r="A325" s="34">
        <v>45248</v>
      </c>
      <c r="B325" s="3">
        <v>2023</v>
      </c>
      <c r="C325" s="3" t="s">
        <v>311</v>
      </c>
      <c r="D325" s="3">
        <v>11</v>
      </c>
      <c r="E325" s="3" t="s">
        <v>313</v>
      </c>
      <c r="F325" s="3" t="s">
        <v>300</v>
      </c>
      <c r="G325" s="35">
        <v>1</v>
      </c>
    </row>
    <row r="326" spans="1:7" x14ac:dyDescent="0.25">
      <c r="A326" s="34">
        <v>45249</v>
      </c>
      <c r="B326" s="3">
        <v>2023</v>
      </c>
      <c r="C326" s="3" t="s">
        <v>311</v>
      </c>
      <c r="D326" s="3">
        <v>11</v>
      </c>
      <c r="E326" s="3" t="s">
        <v>313</v>
      </c>
      <c r="F326" s="3" t="s">
        <v>294</v>
      </c>
      <c r="G326" s="35">
        <v>1</v>
      </c>
    </row>
    <row r="327" spans="1:7" x14ac:dyDescent="0.25">
      <c r="A327" s="34">
        <v>45250</v>
      </c>
      <c r="B327" s="3">
        <v>2023</v>
      </c>
      <c r="C327" s="3" t="s">
        <v>311</v>
      </c>
      <c r="D327" s="3">
        <v>11</v>
      </c>
      <c r="E327" s="3" t="s">
        <v>313</v>
      </c>
      <c r="F327" s="3" t="s">
        <v>295</v>
      </c>
      <c r="G327" s="36">
        <v>0</v>
      </c>
    </row>
    <row r="328" spans="1:7" x14ac:dyDescent="0.25">
      <c r="A328" s="34">
        <v>45251</v>
      </c>
      <c r="B328" s="3">
        <v>2023</v>
      </c>
      <c r="C328" s="3" t="s">
        <v>311</v>
      </c>
      <c r="D328" s="3">
        <v>11</v>
      </c>
      <c r="E328" s="3" t="s">
        <v>313</v>
      </c>
      <c r="F328" s="3" t="s">
        <v>296</v>
      </c>
      <c r="G328" s="36">
        <v>0</v>
      </c>
    </row>
    <row r="329" spans="1:7" x14ac:dyDescent="0.25">
      <c r="A329" s="34">
        <v>45252</v>
      </c>
      <c r="B329" s="3">
        <v>2023</v>
      </c>
      <c r="C329" s="3" t="s">
        <v>311</v>
      </c>
      <c r="D329" s="3">
        <v>11</v>
      </c>
      <c r="E329" s="3" t="s">
        <v>313</v>
      </c>
      <c r="F329" s="3" t="s">
        <v>297</v>
      </c>
      <c r="G329" s="36">
        <v>0</v>
      </c>
    </row>
    <row r="330" spans="1:7" x14ac:dyDescent="0.25">
      <c r="A330" s="34">
        <v>45253</v>
      </c>
      <c r="B330" s="3">
        <v>2023</v>
      </c>
      <c r="C330" s="3" t="s">
        <v>311</v>
      </c>
      <c r="D330" s="3">
        <v>11</v>
      </c>
      <c r="E330" s="3" t="s">
        <v>313</v>
      </c>
      <c r="F330" s="3" t="s">
        <v>298</v>
      </c>
      <c r="G330" s="36">
        <v>0</v>
      </c>
    </row>
    <row r="331" spans="1:7" x14ac:dyDescent="0.25">
      <c r="A331" s="34">
        <v>45254</v>
      </c>
      <c r="B331" s="3">
        <v>2023</v>
      </c>
      <c r="C331" s="3" t="s">
        <v>311</v>
      </c>
      <c r="D331" s="3">
        <v>11</v>
      </c>
      <c r="E331" s="3" t="s">
        <v>313</v>
      </c>
      <c r="F331" s="3" t="s">
        <v>299</v>
      </c>
      <c r="G331" s="36">
        <v>0</v>
      </c>
    </row>
    <row r="332" spans="1:7" x14ac:dyDescent="0.25">
      <c r="A332" s="34">
        <v>45255</v>
      </c>
      <c r="B332" s="3">
        <v>2023</v>
      </c>
      <c r="C332" s="3" t="s">
        <v>311</v>
      </c>
      <c r="D332" s="3">
        <v>11</v>
      </c>
      <c r="E332" s="3" t="s">
        <v>313</v>
      </c>
      <c r="F332" s="3" t="s">
        <v>300</v>
      </c>
      <c r="G332" s="35">
        <v>1</v>
      </c>
    </row>
    <row r="333" spans="1:7" x14ac:dyDescent="0.25">
      <c r="A333" s="34">
        <v>45256</v>
      </c>
      <c r="B333" s="3">
        <v>2023</v>
      </c>
      <c r="C333" s="3" t="s">
        <v>311</v>
      </c>
      <c r="D333" s="3">
        <v>11</v>
      </c>
      <c r="E333" s="3" t="s">
        <v>313</v>
      </c>
      <c r="F333" s="3" t="s">
        <v>294</v>
      </c>
      <c r="G333" s="35">
        <v>1</v>
      </c>
    </row>
    <row r="334" spans="1:7" x14ac:dyDescent="0.25">
      <c r="A334" s="34">
        <v>45257</v>
      </c>
      <c r="B334" s="3">
        <v>2023</v>
      </c>
      <c r="C334" s="3" t="s">
        <v>311</v>
      </c>
      <c r="D334" s="3">
        <v>11</v>
      </c>
      <c r="E334" s="3" t="s">
        <v>313</v>
      </c>
      <c r="F334" s="3" t="s">
        <v>295</v>
      </c>
      <c r="G334" s="36">
        <v>0</v>
      </c>
    </row>
    <row r="335" spans="1:7" x14ac:dyDescent="0.25">
      <c r="A335" s="34">
        <v>45258</v>
      </c>
      <c r="B335" s="3">
        <v>2023</v>
      </c>
      <c r="C335" s="3" t="s">
        <v>311</v>
      </c>
      <c r="D335" s="3">
        <v>11</v>
      </c>
      <c r="E335" s="3" t="s">
        <v>313</v>
      </c>
      <c r="F335" s="3" t="s">
        <v>296</v>
      </c>
      <c r="G335" s="36">
        <v>0</v>
      </c>
    </row>
    <row r="336" spans="1:7" x14ac:dyDescent="0.25">
      <c r="A336" s="34">
        <v>45259</v>
      </c>
      <c r="B336" s="3">
        <v>2023</v>
      </c>
      <c r="C336" s="3" t="s">
        <v>311</v>
      </c>
      <c r="D336" s="3">
        <v>11</v>
      </c>
      <c r="E336" s="3" t="s">
        <v>313</v>
      </c>
      <c r="F336" s="3" t="s">
        <v>297</v>
      </c>
      <c r="G336" s="36">
        <v>0</v>
      </c>
    </row>
    <row r="337" spans="1:7" x14ac:dyDescent="0.25">
      <c r="A337" s="34">
        <v>45260</v>
      </c>
      <c r="B337" s="3">
        <v>2023</v>
      </c>
      <c r="C337" s="3" t="s">
        <v>311</v>
      </c>
      <c r="D337" s="3">
        <v>11</v>
      </c>
      <c r="E337" s="3" t="s">
        <v>313</v>
      </c>
      <c r="F337" s="3" t="s">
        <v>298</v>
      </c>
      <c r="G337" s="36">
        <v>0</v>
      </c>
    </row>
    <row r="338" spans="1:7" x14ac:dyDescent="0.25">
      <c r="A338" s="34">
        <v>45261</v>
      </c>
      <c r="B338" s="3">
        <v>2023</v>
      </c>
      <c r="C338" s="3" t="s">
        <v>311</v>
      </c>
      <c r="D338" s="3">
        <v>12</v>
      </c>
      <c r="E338" s="3" t="s">
        <v>314</v>
      </c>
      <c r="F338" s="3" t="s">
        <v>299</v>
      </c>
      <c r="G338" s="36">
        <v>0</v>
      </c>
    </row>
    <row r="339" spans="1:7" x14ac:dyDescent="0.25">
      <c r="A339" s="34">
        <v>45262</v>
      </c>
      <c r="B339" s="3">
        <v>2023</v>
      </c>
      <c r="C339" s="3" t="s">
        <v>311</v>
      </c>
      <c r="D339" s="3">
        <v>12</v>
      </c>
      <c r="E339" s="3" t="s">
        <v>314</v>
      </c>
      <c r="F339" s="3" t="s">
        <v>300</v>
      </c>
      <c r="G339" s="35">
        <v>1</v>
      </c>
    </row>
    <row r="340" spans="1:7" x14ac:dyDescent="0.25">
      <c r="A340" s="34">
        <v>45263</v>
      </c>
      <c r="B340" s="3">
        <v>2023</v>
      </c>
      <c r="C340" s="3" t="s">
        <v>311</v>
      </c>
      <c r="D340" s="3">
        <v>12</v>
      </c>
      <c r="E340" s="3" t="s">
        <v>314</v>
      </c>
      <c r="F340" s="3" t="s">
        <v>294</v>
      </c>
      <c r="G340" s="35">
        <v>1</v>
      </c>
    </row>
    <row r="341" spans="1:7" x14ac:dyDescent="0.25">
      <c r="A341" s="34">
        <v>45264</v>
      </c>
      <c r="B341" s="3">
        <v>2023</v>
      </c>
      <c r="C341" s="3" t="s">
        <v>311</v>
      </c>
      <c r="D341" s="3">
        <v>12</v>
      </c>
      <c r="E341" s="3" t="s">
        <v>314</v>
      </c>
      <c r="F341" s="3" t="s">
        <v>295</v>
      </c>
      <c r="G341" s="36">
        <v>0</v>
      </c>
    </row>
    <row r="342" spans="1:7" x14ac:dyDescent="0.25">
      <c r="A342" s="34">
        <v>45265</v>
      </c>
      <c r="B342" s="3">
        <v>2023</v>
      </c>
      <c r="C342" s="3" t="s">
        <v>311</v>
      </c>
      <c r="D342" s="3">
        <v>12</v>
      </c>
      <c r="E342" s="3" t="s">
        <v>314</v>
      </c>
      <c r="F342" s="3" t="s">
        <v>296</v>
      </c>
      <c r="G342" s="36">
        <v>0</v>
      </c>
    </row>
    <row r="343" spans="1:7" x14ac:dyDescent="0.25">
      <c r="A343" s="34">
        <v>45266</v>
      </c>
      <c r="B343" s="3">
        <v>2023</v>
      </c>
      <c r="C343" s="3" t="s">
        <v>311</v>
      </c>
      <c r="D343" s="3">
        <v>12</v>
      </c>
      <c r="E343" s="3" t="s">
        <v>314</v>
      </c>
      <c r="F343" s="3" t="s">
        <v>297</v>
      </c>
      <c r="G343" s="36">
        <v>0</v>
      </c>
    </row>
    <row r="344" spans="1:7" x14ac:dyDescent="0.25">
      <c r="A344" s="34">
        <v>45267</v>
      </c>
      <c r="B344" s="3">
        <v>2023</v>
      </c>
      <c r="C344" s="3" t="s">
        <v>311</v>
      </c>
      <c r="D344" s="3">
        <v>12</v>
      </c>
      <c r="E344" s="3" t="s">
        <v>314</v>
      </c>
      <c r="F344" s="3" t="s">
        <v>298</v>
      </c>
      <c r="G344" s="36">
        <v>0</v>
      </c>
    </row>
    <row r="345" spans="1:7" x14ac:dyDescent="0.25">
      <c r="A345" s="34">
        <v>45268</v>
      </c>
      <c r="B345" s="3">
        <v>2023</v>
      </c>
      <c r="C345" s="3" t="s">
        <v>311</v>
      </c>
      <c r="D345" s="3">
        <v>12</v>
      </c>
      <c r="E345" s="3" t="s">
        <v>314</v>
      </c>
      <c r="F345" s="3" t="s">
        <v>299</v>
      </c>
      <c r="G345" s="36">
        <v>0</v>
      </c>
    </row>
    <row r="346" spans="1:7" x14ac:dyDescent="0.25">
      <c r="A346" s="34">
        <v>45269</v>
      </c>
      <c r="B346" s="3">
        <v>2023</v>
      </c>
      <c r="C346" s="3" t="s">
        <v>311</v>
      </c>
      <c r="D346" s="3">
        <v>12</v>
      </c>
      <c r="E346" s="3" t="s">
        <v>314</v>
      </c>
      <c r="F346" s="3" t="s">
        <v>300</v>
      </c>
      <c r="G346" s="35">
        <v>1</v>
      </c>
    </row>
    <row r="347" spans="1:7" x14ac:dyDescent="0.25">
      <c r="A347" s="34">
        <v>45270</v>
      </c>
      <c r="B347" s="3">
        <v>2023</v>
      </c>
      <c r="C347" s="3" t="s">
        <v>311</v>
      </c>
      <c r="D347" s="3">
        <v>12</v>
      </c>
      <c r="E347" s="3" t="s">
        <v>314</v>
      </c>
      <c r="F347" s="3" t="s">
        <v>294</v>
      </c>
      <c r="G347" s="35">
        <v>1</v>
      </c>
    </row>
    <row r="348" spans="1:7" x14ac:dyDescent="0.25">
      <c r="A348" s="34">
        <v>45271</v>
      </c>
      <c r="B348" s="3">
        <v>2023</v>
      </c>
      <c r="C348" s="3" t="s">
        <v>311</v>
      </c>
      <c r="D348" s="3">
        <v>12</v>
      </c>
      <c r="E348" s="3" t="s">
        <v>314</v>
      </c>
      <c r="F348" s="3" t="s">
        <v>295</v>
      </c>
      <c r="G348" s="36">
        <v>0</v>
      </c>
    </row>
    <row r="349" spans="1:7" x14ac:dyDescent="0.25">
      <c r="A349" s="34">
        <v>45272</v>
      </c>
      <c r="B349" s="3">
        <v>2023</v>
      </c>
      <c r="C349" s="3" t="s">
        <v>311</v>
      </c>
      <c r="D349" s="3">
        <v>12</v>
      </c>
      <c r="E349" s="3" t="s">
        <v>314</v>
      </c>
      <c r="F349" s="3" t="s">
        <v>296</v>
      </c>
      <c r="G349" s="36">
        <v>0</v>
      </c>
    </row>
    <row r="350" spans="1:7" x14ac:dyDescent="0.25">
      <c r="A350" s="34">
        <v>45273</v>
      </c>
      <c r="B350" s="3">
        <v>2023</v>
      </c>
      <c r="C350" s="3" t="s">
        <v>311</v>
      </c>
      <c r="D350" s="3">
        <v>12</v>
      </c>
      <c r="E350" s="3" t="s">
        <v>314</v>
      </c>
      <c r="F350" s="3" t="s">
        <v>297</v>
      </c>
      <c r="G350" s="36">
        <v>0</v>
      </c>
    </row>
    <row r="351" spans="1:7" x14ac:dyDescent="0.25">
      <c r="A351" s="34">
        <v>45274</v>
      </c>
      <c r="B351" s="3">
        <v>2023</v>
      </c>
      <c r="C351" s="3" t="s">
        <v>311</v>
      </c>
      <c r="D351" s="3">
        <v>12</v>
      </c>
      <c r="E351" s="3" t="s">
        <v>314</v>
      </c>
      <c r="F351" s="3" t="s">
        <v>298</v>
      </c>
      <c r="G351" s="36">
        <v>0</v>
      </c>
    </row>
    <row r="352" spans="1:7" x14ac:dyDescent="0.25">
      <c r="A352" s="34">
        <v>45275</v>
      </c>
      <c r="B352" s="3">
        <v>2023</v>
      </c>
      <c r="C352" s="3" t="s">
        <v>311</v>
      </c>
      <c r="D352" s="3">
        <v>12</v>
      </c>
      <c r="E352" s="3" t="s">
        <v>314</v>
      </c>
      <c r="F352" s="3" t="s">
        <v>299</v>
      </c>
      <c r="G352" s="36">
        <v>0</v>
      </c>
    </row>
    <row r="353" spans="1:7" x14ac:dyDescent="0.25">
      <c r="A353" s="34">
        <v>45276</v>
      </c>
      <c r="B353" s="3">
        <v>2023</v>
      </c>
      <c r="C353" s="3" t="s">
        <v>311</v>
      </c>
      <c r="D353" s="3">
        <v>12</v>
      </c>
      <c r="E353" s="3" t="s">
        <v>314</v>
      </c>
      <c r="F353" s="3" t="s">
        <v>300</v>
      </c>
      <c r="G353" s="35">
        <v>1</v>
      </c>
    </row>
    <row r="354" spans="1:7" x14ac:dyDescent="0.25">
      <c r="A354" s="34">
        <v>45277</v>
      </c>
      <c r="B354" s="3">
        <v>2023</v>
      </c>
      <c r="C354" s="3" t="s">
        <v>311</v>
      </c>
      <c r="D354" s="3">
        <v>12</v>
      </c>
      <c r="E354" s="3" t="s">
        <v>314</v>
      </c>
      <c r="F354" s="3" t="s">
        <v>294</v>
      </c>
      <c r="G354" s="35">
        <v>1</v>
      </c>
    </row>
    <row r="355" spans="1:7" x14ac:dyDescent="0.25">
      <c r="A355" s="34">
        <v>45278</v>
      </c>
      <c r="B355" s="3">
        <v>2023</v>
      </c>
      <c r="C355" s="3" t="s">
        <v>311</v>
      </c>
      <c r="D355" s="3">
        <v>12</v>
      </c>
      <c r="E355" s="3" t="s">
        <v>314</v>
      </c>
      <c r="F355" s="3" t="s">
        <v>295</v>
      </c>
      <c r="G355" s="36">
        <v>0</v>
      </c>
    </row>
    <row r="356" spans="1:7" x14ac:dyDescent="0.25">
      <c r="A356" s="34">
        <v>45279</v>
      </c>
      <c r="B356" s="3">
        <v>2023</v>
      </c>
      <c r="C356" s="3" t="s">
        <v>311</v>
      </c>
      <c r="D356" s="3">
        <v>12</v>
      </c>
      <c r="E356" s="3" t="s">
        <v>314</v>
      </c>
      <c r="F356" s="3" t="s">
        <v>296</v>
      </c>
      <c r="G356" s="36">
        <v>0</v>
      </c>
    </row>
    <row r="357" spans="1:7" x14ac:dyDescent="0.25">
      <c r="A357" s="34">
        <v>45280</v>
      </c>
      <c r="B357" s="3">
        <v>2023</v>
      </c>
      <c r="C357" s="3" t="s">
        <v>311</v>
      </c>
      <c r="D357" s="3">
        <v>12</v>
      </c>
      <c r="E357" s="3" t="s">
        <v>314</v>
      </c>
      <c r="F357" s="3" t="s">
        <v>297</v>
      </c>
      <c r="G357" s="36">
        <v>0</v>
      </c>
    </row>
    <row r="358" spans="1:7" x14ac:dyDescent="0.25">
      <c r="A358" s="34">
        <v>45281</v>
      </c>
      <c r="B358" s="3">
        <v>2023</v>
      </c>
      <c r="C358" s="3" t="s">
        <v>311</v>
      </c>
      <c r="D358" s="3">
        <v>12</v>
      </c>
      <c r="E358" s="3" t="s">
        <v>314</v>
      </c>
      <c r="F358" s="3" t="s">
        <v>298</v>
      </c>
      <c r="G358" s="36">
        <v>0</v>
      </c>
    </row>
    <row r="359" spans="1:7" x14ac:dyDescent="0.25">
      <c r="A359" s="34">
        <v>45282</v>
      </c>
      <c r="B359" s="3">
        <v>2023</v>
      </c>
      <c r="C359" s="3" t="s">
        <v>311</v>
      </c>
      <c r="D359" s="3">
        <v>12</v>
      </c>
      <c r="E359" s="3" t="s">
        <v>314</v>
      </c>
      <c r="F359" s="3" t="s">
        <v>299</v>
      </c>
      <c r="G359" s="36">
        <v>0</v>
      </c>
    </row>
    <row r="360" spans="1:7" x14ac:dyDescent="0.25">
      <c r="A360" s="34">
        <v>45283</v>
      </c>
      <c r="B360" s="3">
        <v>2023</v>
      </c>
      <c r="C360" s="3" t="s">
        <v>311</v>
      </c>
      <c r="D360" s="3">
        <v>12</v>
      </c>
      <c r="E360" s="3" t="s">
        <v>314</v>
      </c>
      <c r="F360" s="3" t="s">
        <v>300</v>
      </c>
      <c r="G360" s="35">
        <v>1</v>
      </c>
    </row>
    <row r="361" spans="1:7" x14ac:dyDescent="0.25">
      <c r="A361" s="34">
        <v>45284</v>
      </c>
      <c r="B361" s="3">
        <v>2023</v>
      </c>
      <c r="C361" s="3" t="s">
        <v>311</v>
      </c>
      <c r="D361" s="3">
        <v>12</v>
      </c>
      <c r="E361" s="3" t="s">
        <v>314</v>
      </c>
      <c r="F361" s="3" t="s">
        <v>294</v>
      </c>
      <c r="G361" s="35">
        <v>1</v>
      </c>
    </row>
    <row r="362" spans="1:7" x14ac:dyDescent="0.25">
      <c r="A362" s="34">
        <v>45285</v>
      </c>
      <c r="B362" s="3">
        <v>2023</v>
      </c>
      <c r="C362" s="3" t="s">
        <v>311</v>
      </c>
      <c r="D362" s="3">
        <v>12</v>
      </c>
      <c r="E362" s="3" t="s">
        <v>314</v>
      </c>
      <c r="F362" s="3" t="s">
        <v>295</v>
      </c>
      <c r="G362" s="36">
        <v>0</v>
      </c>
    </row>
    <row r="363" spans="1:7" x14ac:dyDescent="0.25">
      <c r="A363" s="34">
        <v>45286</v>
      </c>
      <c r="B363" s="3">
        <v>2023</v>
      </c>
      <c r="C363" s="3" t="s">
        <v>311</v>
      </c>
      <c r="D363" s="3">
        <v>12</v>
      </c>
      <c r="E363" s="3" t="s">
        <v>314</v>
      </c>
      <c r="F363" s="3" t="s">
        <v>296</v>
      </c>
      <c r="G363" s="36">
        <v>0</v>
      </c>
    </row>
    <row r="364" spans="1:7" x14ac:dyDescent="0.25">
      <c r="A364" s="34">
        <v>45287</v>
      </c>
      <c r="B364" s="3">
        <v>2023</v>
      </c>
      <c r="C364" s="3" t="s">
        <v>311</v>
      </c>
      <c r="D364" s="3">
        <v>12</v>
      </c>
      <c r="E364" s="3" t="s">
        <v>314</v>
      </c>
      <c r="F364" s="3" t="s">
        <v>297</v>
      </c>
      <c r="G364" s="36">
        <v>0</v>
      </c>
    </row>
    <row r="365" spans="1:7" x14ac:dyDescent="0.25">
      <c r="A365" s="34">
        <v>45288</v>
      </c>
      <c r="B365" s="3">
        <v>2023</v>
      </c>
      <c r="C365" s="3" t="s">
        <v>311</v>
      </c>
      <c r="D365" s="3">
        <v>12</v>
      </c>
      <c r="E365" s="3" t="s">
        <v>314</v>
      </c>
      <c r="F365" s="3" t="s">
        <v>298</v>
      </c>
      <c r="G365" s="36">
        <v>0</v>
      </c>
    </row>
    <row r="366" spans="1:7" x14ac:dyDescent="0.25">
      <c r="A366" s="34">
        <v>45289</v>
      </c>
      <c r="B366" s="3">
        <v>2023</v>
      </c>
      <c r="C366" s="3" t="s">
        <v>311</v>
      </c>
      <c r="D366" s="3">
        <v>12</v>
      </c>
      <c r="E366" s="3" t="s">
        <v>314</v>
      </c>
      <c r="F366" s="3" t="s">
        <v>299</v>
      </c>
      <c r="G366" s="36">
        <v>0</v>
      </c>
    </row>
    <row r="367" spans="1:7" x14ac:dyDescent="0.25">
      <c r="A367" s="34">
        <v>45290</v>
      </c>
      <c r="B367" s="3">
        <v>2023</v>
      </c>
      <c r="C367" s="3" t="s">
        <v>311</v>
      </c>
      <c r="D367" s="3">
        <v>12</v>
      </c>
      <c r="E367" s="3" t="s">
        <v>314</v>
      </c>
      <c r="F367" s="3" t="s">
        <v>300</v>
      </c>
      <c r="G367" s="35">
        <v>1</v>
      </c>
    </row>
    <row r="368" spans="1:7" x14ac:dyDescent="0.25">
      <c r="A368" s="34">
        <v>45291</v>
      </c>
      <c r="B368" s="3">
        <v>2023</v>
      </c>
      <c r="C368" s="3" t="s">
        <v>311</v>
      </c>
      <c r="D368" s="3">
        <v>12</v>
      </c>
      <c r="E368" s="3" t="s">
        <v>314</v>
      </c>
      <c r="F368" s="3" t="s">
        <v>294</v>
      </c>
      <c r="G368" s="35">
        <v>1</v>
      </c>
    </row>
    <row r="369" spans="1:7" x14ac:dyDescent="0.25">
      <c r="A369" s="34">
        <v>45292</v>
      </c>
      <c r="B369" s="3">
        <v>2024</v>
      </c>
      <c r="C369" s="3" t="s">
        <v>292</v>
      </c>
      <c r="D369" s="3">
        <v>1</v>
      </c>
      <c r="E369" s="3" t="s">
        <v>293</v>
      </c>
      <c r="F369" s="3" t="s">
        <v>295</v>
      </c>
      <c r="G369" s="36">
        <v>0</v>
      </c>
    </row>
    <row r="370" spans="1:7" x14ac:dyDescent="0.25">
      <c r="A370" s="34">
        <v>45293</v>
      </c>
      <c r="B370" s="3">
        <v>2024</v>
      </c>
      <c r="C370" s="3" t="s">
        <v>292</v>
      </c>
      <c r="D370" s="3">
        <v>1</v>
      </c>
      <c r="E370" s="3" t="s">
        <v>293</v>
      </c>
      <c r="F370" s="3" t="s">
        <v>296</v>
      </c>
      <c r="G370" s="36">
        <v>0</v>
      </c>
    </row>
    <row r="371" spans="1:7" x14ac:dyDescent="0.25">
      <c r="A371" s="34">
        <v>45294</v>
      </c>
      <c r="B371" s="3">
        <v>2024</v>
      </c>
      <c r="C371" s="3" t="s">
        <v>292</v>
      </c>
      <c r="D371" s="3">
        <v>1</v>
      </c>
      <c r="E371" s="3" t="s">
        <v>293</v>
      </c>
      <c r="F371" s="3" t="s">
        <v>297</v>
      </c>
      <c r="G371" s="36">
        <v>0</v>
      </c>
    </row>
    <row r="372" spans="1:7" x14ac:dyDescent="0.25">
      <c r="A372" s="34">
        <v>45295</v>
      </c>
      <c r="B372" s="3">
        <v>2024</v>
      </c>
      <c r="C372" s="3" t="s">
        <v>292</v>
      </c>
      <c r="D372" s="3">
        <v>1</v>
      </c>
      <c r="E372" s="3" t="s">
        <v>293</v>
      </c>
      <c r="F372" s="3" t="s">
        <v>298</v>
      </c>
      <c r="G372" s="36">
        <v>0</v>
      </c>
    </row>
    <row r="373" spans="1:7" x14ac:dyDescent="0.25">
      <c r="A373" s="34">
        <v>45296</v>
      </c>
      <c r="B373" s="3">
        <v>2024</v>
      </c>
      <c r="C373" s="3" t="s">
        <v>292</v>
      </c>
      <c r="D373" s="3">
        <v>1</v>
      </c>
      <c r="E373" s="3" t="s">
        <v>293</v>
      </c>
      <c r="F373" s="3" t="s">
        <v>299</v>
      </c>
      <c r="G373" s="36">
        <v>0</v>
      </c>
    </row>
    <row r="374" spans="1:7" x14ac:dyDescent="0.25">
      <c r="A374" s="34">
        <v>45297</v>
      </c>
      <c r="B374" s="3">
        <v>2024</v>
      </c>
      <c r="C374" s="3" t="s">
        <v>292</v>
      </c>
      <c r="D374" s="3">
        <v>1</v>
      </c>
      <c r="E374" s="3" t="s">
        <v>293</v>
      </c>
      <c r="F374" s="3" t="s">
        <v>300</v>
      </c>
      <c r="G374" s="35">
        <v>1</v>
      </c>
    </row>
    <row r="375" spans="1:7" x14ac:dyDescent="0.25">
      <c r="A375" s="34">
        <v>45298</v>
      </c>
      <c r="B375" s="3">
        <v>2024</v>
      </c>
      <c r="C375" s="3" t="s">
        <v>292</v>
      </c>
      <c r="D375" s="3">
        <v>1</v>
      </c>
      <c r="E375" s="3" t="s">
        <v>293</v>
      </c>
      <c r="F375" s="3" t="s">
        <v>294</v>
      </c>
      <c r="G375" s="35">
        <v>1</v>
      </c>
    </row>
    <row r="376" spans="1:7" x14ac:dyDescent="0.25">
      <c r="A376" s="34">
        <v>45299</v>
      </c>
      <c r="B376" s="3">
        <v>2024</v>
      </c>
      <c r="C376" s="3" t="s">
        <v>292</v>
      </c>
      <c r="D376" s="3">
        <v>1</v>
      </c>
      <c r="E376" s="3" t="s">
        <v>293</v>
      </c>
      <c r="F376" s="3" t="s">
        <v>295</v>
      </c>
      <c r="G376" s="36">
        <v>0</v>
      </c>
    </row>
    <row r="377" spans="1:7" x14ac:dyDescent="0.25">
      <c r="A377" s="34">
        <v>45300</v>
      </c>
      <c r="B377" s="3">
        <v>2024</v>
      </c>
      <c r="C377" s="3" t="s">
        <v>292</v>
      </c>
      <c r="D377" s="3">
        <v>1</v>
      </c>
      <c r="E377" s="3" t="s">
        <v>293</v>
      </c>
      <c r="F377" s="3" t="s">
        <v>296</v>
      </c>
      <c r="G377" s="36">
        <v>0</v>
      </c>
    </row>
    <row r="378" spans="1:7" x14ac:dyDescent="0.25">
      <c r="A378" s="34">
        <v>45301</v>
      </c>
      <c r="B378" s="3">
        <v>2024</v>
      </c>
      <c r="C378" s="3" t="s">
        <v>292</v>
      </c>
      <c r="D378" s="3">
        <v>1</v>
      </c>
      <c r="E378" s="3" t="s">
        <v>293</v>
      </c>
      <c r="F378" s="3" t="s">
        <v>297</v>
      </c>
      <c r="G378" s="36">
        <v>0</v>
      </c>
    </row>
    <row r="379" spans="1:7" x14ac:dyDescent="0.25">
      <c r="A379" s="34">
        <v>45302</v>
      </c>
      <c r="B379" s="3">
        <v>2024</v>
      </c>
      <c r="C379" s="3" t="s">
        <v>292</v>
      </c>
      <c r="D379" s="3">
        <v>1</v>
      </c>
      <c r="E379" s="3" t="s">
        <v>293</v>
      </c>
      <c r="F379" s="3" t="s">
        <v>298</v>
      </c>
      <c r="G379" s="36">
        <v>0</v>
      </c>
    </row>
    <row r="380" spans="1:7" x14ac:dyDescent="0.25">
      <c r="A380" s="34">
        <v>45303</v>
      </c>
      <c r="B380" s="3">
        <v>2024</v>
      </c>
      <c r="C380" s="3" t="s">
        <v>292</v>
      </c>
      <c r="D380" s="3">
        <v>1</v>
      </c>
      <c r="E380" s="3" t="s">
        <v>293</v>
      </c>
      <c r="F380" s="3" t="s">
        <v>299</v>
      </c>
      <c r="G380" s="36">
        <v>0</v>
      </c>
    </row>
    <row r="381" spans="1:7" x14ac:dyDescent="0.25">
      <c r="A381" s="34">
        <v>45304</v>
      </c>
      <c r="B381" s="3">
        <v>2024</v>
      </c>
      <c r="C381" s="3" t="s">
        <v>292</v>
      </c>
      <c r="D381" s="3">
        <v>1</v>
      </c>
      <c r="E381" s="3" t="s">
        <v>293</v>
      </c>
      <c r="F381" s="3" t="s">
        <v>300</v>
      </c>
      <c r="G381" s="35">
        <v>1</v>
      </c>
    </row>
    <row r="382" spans="1:7" x14ac:dyDescent="0.25">
      <c r="A382" s="34">
        <v>45305</v>
      </c>
      <c r="B382" s="3">
        <v>2024</v>
      </c>
      <c r="C382" s="3" t="s">
        <v>292</v>
      </c>
      <c r="D382" s="3">
        <v>1</v>
      </c>
      <c r="E382" s="3" t="s">
        <v>293</v>
      </c>
      <c r="F382" s="3" t="s">
        <v>294</v>
      </c>
      <c r="G382" s="35">
        <v>1</v>
      </c>
    </row>
    <row r="383" spans="1:7" x14ac:dyDescent="0.25">
      <c r="A383" s="34">
        <v>45306</v>
      </c>
      <c r="B383" s="3">
        <v>2024</v>
      </c>
      <c r="C383" s="3" t="s">
        <v>292</v>
      </c>
      <c r="D383" s="3">
        <v>1</v>
      </c>
      <c r="E383" s="3" t="s">
        <v>293</v>
      </c>
      <c r="F383" s="3" t="s">
        <v>295</v>
      </c>
      <c r="G383" s="36">
        <v>0</v>
      </c>
    </row>
    <row r="384" spans="1:7" x14ac:dyDescent="0.25">
      <c r="A384" s="34">
        <v>45307</v>
      </c>
      <c r="B384" s="3">
        <v>2024</v>
      </c>
      <c r="C384" s="3" t="s">
        <v>292</v>
      </c>
      <c r="D384" s="3">
        <v>1</v>
      </c>
      <c r="E384" s="3" t="s">
        <v>293</v>
      </c>
      <c r="F384" s="3" t="s">
        <v>296</v>
      </c>
      <c r="G384" s="36">
        <v>0</v>
      </c>
    </row>
    <row r="385" spans="1:7" x14ac:dyDescent="0.25">
      <c r="A385" s="34">
        <v>45308</v>
      </c>
      <c r="B385" s="3">
        <v>2024</v>
      </c>
      <c r="C385" s="3" t="s">
        <v>292</v>
      </c>
      <c r="D385" s="3">
        <v>1</v>
      </c>
      <c r="E385" s="3" t="s">
        <v>293</v>
      </c>
      <c r="F385" s="3" t="s">
        <v>297</v>
      </c>
      <c r="G385" s="36">
        <v>0</v>
      </c>
    </row>
    <row r="386" spans="1:7" x14ac:dyDescent="0.25">
      <c r="A386" s="34">
        <v>45309</v>
      </c>
      <c r="B386" s="3">
        <v>2024</v>
      </c>
      <c r="C386" s="3" t="s">
        <v>292</v>
      </c>
      <c r="D386" s="3">
        <v>1</v>
      </c>
      <c r="E386" s="3" t="s">
        <v>293</v>
      </c>
      <c r="F386" s="3" t="s">
        <v>298</v>
      </c>
      <c r="G386" s="36">
        <v>0</v>
      </c>
    </row>
    <row r="387" spans="1:7" x14ac:dyDescent="0.25">
      <c r="A387" s="34">
        <v>45310</v>
      </c>
      <c r="B387" s="3">
        <v>2024</v>
      </c>
      <c r="C387" s="3" t="s">
        <v>292</v>
      </c>
      <c r="D387" s="3">
        <v>1</v>
      </c>
      <c r="E387" s="3" t="s">
        <v>293</v>
      </c>
      <c r="F387" s="3" t="s">
        <v>299</v>
      </c>
      <c r="G387" s="36">
        <v>0</v>
      </c>
    </row>
    <row r="388" spans="1:7" x14ac:dyDescent="0.25">
      <c r="A388" s="34">
        <v>45311</v>
      </c>
      <c r="B388" s="3">
        <v>2024</v>
      </c>
      <c r="C388" s="3" t="s">
        <v>292</v>
      </c>
      <c r="D388" s="3">
        <v>1</v>
      </c>
      <c r="E388" s="3" t="s">
        <v>293</v>
      </c>
      <c r="F388" s="3" t="s">
        <v>300</v>
      </c>
      <c r="G388" s="35">
        <v>1</v>
      </c>
    </row>
    <row r="389" spans="1:7" x14ac:dyDescent="0.25">
      <c r="A389" s="34">
        <v>45312</v>
      </c>
      <c r="B389" s="3">
        <v>2024</v>
      </c>
      <c r="C389" s="3" t="s">
        <v>292</v>
      </c>
      <c r="D389" s="3">
        <v>1</v>
      </c>
      <c r="E389" s="3" t="s">
        <v>293</v>
      </c>
      <c r="F389" s="3" t="s">
        <v>294</v>
      </c>
      <c r="G389" s="35">
        <v>1</v>
      </c>
    </row>
    <row r="390" spans="1:7" x14ac:dyDescent="0.25">
      <c r="A390" s="34">
        <v>45313</v>
      </c>
      <c r="B390" s="3">
        <v>2024</v>
      </c>
      <c r="C390" s="3" t="s">
        <v>292</v>
      </c>
      <c r="D390" s="3">
        <v>1</v>
      </c>
      <c r="E390" s="3" t="s">
        <v>293</v>
      </c>
      <c r="F390" s="3" t="s">
        <v>295</v>
      </c>
      <c r="G390" s="36">
        <v>0</v>
      </c>
    </row>
    <row r="391" spans="1:7" x14ac:dyDescent="0.25">
      <c r="A391" s="34">
        <v>45314</v>
      </c>
      <c r="B391" s="3">
        <v>2024</v>
      </c>
      <c r="C391" s="3" t="s">
        <v>292</v>
      </c>
      <c r="D391" s="3">
        <v>1</v>
      </c>
      <c r="E391" s="3" t="s">
        <v>293</v>
      </c>
      <c r="F391" s="3" t="s">
        <v>296</v>
      </c>
      <c r="G391" s="36">
        <v>0</v>
      </c>
    </row>
    <row r="392" spans="1:7" x14ac:dyDescent="0.25">
      <c r="A392" s="34">
        <v>45315</v>
      </c>
      <c r="B392" s="3">
        <v>2024</v>
      </c>
      <c r="C392" s="3" t="s">
        <v>292</v>
      </c>
      <c r="D392" s="3">
        <v>1</v>
      </c>
      <c r="E392" s="3" t="s">
        <v>293</v>
      </c>
      <c r="F392" s="3" t="s">
        <v>297</v>
      </c>
      <c r="G392" s="36">
        <v>0</v>
      </c>
    </row>
    <row r="393" spans="1:7" x14ac:dyDescent="0.25">
      <c r="A393" s="34">
        <v>45316</v>
      </c>
      <c r="B393" s="3">
        <v>2024</v>
      </c>
      <c r="C393" s="3" t="s">
        <v>292</v>
      </c>
      <c r="D393" s="3">
        <v>1</v>
      </c>
      <c r="E393" s="3" t="s">
        <v>293</v>
      </c>
      <c r="F393" s="3" t="s">
        <v>298</v>
      </c>
      <c r="G393" s="36">
        <v>0</v>
      </c>
    </row>
    <row r="394" spans="1:7" x14ac:dyDescent="0.25">
      <c r="A394" s="34">
        <v>45317</v>
      </c>
      <c r="B394" s="3">
        <v>2024</v>
      </c>
      <c r="C394" s="3" t="s">
        <v>292</v>
      </c>
      <c r="D394" s="3">
        <v>1</v>
      </c>
      <c r="E394" s="3" t="s">
        <v>293</v>
      </c>
      <c r="F394" s="3" t="s">
        <v>299</v>
      </c>
      <c r="G394" s="36">
        <v>0</v>
      </c>
    </row>
    <row r="395" spans="1:7" x14ac:dyDescent="0.25">
      <c r="A395" s="34">
        <v>45318</v>
      </c>
      <c r="B395" s="3">
        <v>2024</v>
      </c>
      <c r="C395" s="3" t="s">
        <v>292</v>
      </c>
      <c r="D395" s="3">
        <v>1</v>
      </c>
      <c r="E395" s="3" t="s">
        <v>293</v>
      </c>
      <c r="F395" s="3" t="s">
        <v>300</v>
      </c>
      <c r="G395" s="35">
        <v>1</v>
      </c>
    </row>
    <row r="396" spans="1:7" x14ac:dyDescent="0.25">
      <c r="A396" s="34">
        <v>45319</v>
      </c>
      <c r="B396" s="3">
        <v>2024</v>
      </c>
      <c r="C396" s="3" t="s">
        <v>292</v>
      </c>
      <c r="D396" s="3">
        <v>1</v>
      </c>
      <c r="E396" s="3" t="s">
        <v>293</v>
      </c>
      <c r="F396" s="3" t="s">
        <v>294</v>
      </c>
      <c r="G396" s="35">
        <v>1</v>
      </c>
    </row>
    <row r="397" spans="1:7" x14ac:dyDescent="0.25">
      <c r="A397" s="34">
        <v>45320</v>
      </c>
      <c r="B397" s="3">
        <v>2024</v>
      </c>
      <c r="C397" s="3" t="s">
        <v>292</v>
      </c>
      <c r="D397" s="3">
        <v>1</v>
      </c>
      <c r="E397" s="3" t="s">
        <v>293</v>
      </c>
      <c r="F397" s="3" t="s">
        <v>295</v>
      </c>
      <c r="G397" s="36">
        <v>0</v>
      </c>
    </row>
    <row r="398" spans="1:7" x14ac:dyDescent="0.25">
      <c r="A398" s="34">
        <v>45321</v>
      </c>
      <c r="B398" s="3">
        <v>2024</v>
      </c>
      <c r="C398" s="3" t="s">
        <v>292</v>
      </c>
      <c r="D398" s="3">
        <v>1</v>
      </c>
      <c r="E398" s="3" t="s">
        <v>293</v>
      </c>
      <c r="F398" s="3" t="s">
        <v>296</v>
      </c>
      <c r="G398" s="36">
        <v>0</v>
      </c>
    </row>
    <row r="399" spans="1:7" x14ac:dyDescent="0.25">
      <c r="A399" s="34">
        <v>45322</v>
      </c>
      <c r="B399" s="3">
        <v>2024</v>
      </c>
      <c r="C399" s="3" t="s">
        <v>292</v>
      </c>
      <c r="D399" s="3">
        <v>1</v>
      </c>
      <c r="E399" s="3" t="s">
        <v>293</v>
      </c>
      <c r="F399" s="3" t="s">
        <v>297</v>
      </c>
      <c r="G399" s="36">
        <v>0</v>
      </c>
    </row>
    <row r="400" spans="1:7" x14ac:dyDescent="0.25">
      <c r="A400" s="34">
        <v>45323</v>
      </c>
      <c r="B400" s="3">
        <v>2024</v>
      </c>
      <c r="C400" s="3" t="s">
        <v>292</v>
      </c>
      <c r="D400" s="3">
        <v>2</v>
      </c>
      <c r="E400" s="3" t="s">
        <v>301</v>
      </c>
      <c r="F400" s="3" t="s">
        <v>298</v>
      </c>
      <c r="G400" s="36">
        <v>0</v>
      </c>
    </row>
    <row r="401" spans="1:7" x14ac:dyDescent="0.25">
      <c r="A401" s="34">
        <v>45324</v>
      </c>
      <c r="B401" s="3">
        <v>2024</v>
      </c>
      <c r="C401" s="3" t="s">
        <v>292</v>
      </c>
      <c r="D401" s="3">
        <v>2</v>
      </c>
      <c r="E401" s="3" t="s">
        <v>301</v>
      </c>
      <c r="F401" s="3" t="s">
        <v>299</v>
      </c>
      <c r="G401" s="36">
        <v>0</v>
      </c>
    </row>
    <row r="402" spans="1:7" x14ac:dyDescent="0.25">
      <c r="A402" s="34">
        <v>45325</v>
      </c>
      <c r="B402" s="3">
        <v>2024</v>
      </c>
      <c r="C402" s="3" t="s">
        <v>292</v>
      </c>
      <c r="D402" s="3">
        <v>2</v>
      </c>
      <c r="E402" s="3" t="s">
        <v>301</v>
      </c>
      <c r="F402" s="3" t="s">
        <v>300</v>
      </c>
      <c r="G402" s="35">
        <v>1</v>
      </c>
    </row>
    <row r="403" spans="1:7" x14ac:dyDescent="0.25">
      <c r="A403" s="34">
        <v>45326</v>
      </c>
      <c r="B403" s="3">
        <v>2024</v>
      </c>
      <c r="C403" s="3" t="s">
        <v>292</v>
      </c>
      <c r="D403" s="3">
        <v>2</v>
      </c>
      <c r="E403" s="3" t="s">
        <v>301</v>
      </c>
      <c r="F403" s="3" t="s">
        <v>294</v>
      </c>
      <c r="G403" s="35">
        <v>1</v>
      </c>
    </row>
    <row r="404" spans="1:7" x14ac:dyDescent="0.25">
      <c r="A404" s="34">
        <v>45327</v>
      </c>
      <c r="B404" s="3">
        <v>2024</v>
      </c>
      <c r="C404" s="3" t="s">
        <v>292</v>
      </c>
      <c r="D404" s="3">
        <v>2</v>
      </c>
      <c r="E404" s="3" t="s">
        <v>301</v>
      </c>
      <c r="F404" s="3" t="s">
        <v>295</v>
      </c>
      <c r="G404" s="36">
        <v>0</v>
      </c>
    </row>
    <row r="405" spans="1:7" x14ac:dyDescent="0.25">
      <c r="A405" s="34">
        <v>45328</v>
      </c>
      <c r="B405" s="3">
        <v>2024</v>
      </c>
      <c r="C405" s="3" t="s">
        <v>292</v>
      </c>
      <c r="D405" s="3">
        <v>2</v>
      </c>
      <c r="E405" s="3" t="s">
        <v>301</v>
      </c>
      <c r="F405" s="3" t="s">
        <v>296</v>
      </c>
      <c r="G405" s="36">
        <v>0</v>
      </c>
    </row>
    <row r="406" spans="1:7" x14ac:dyDescent="0.25">
      <c r="A406" s="34">
        <v>45329</v>
      </c>
      <c r="B406" s="3">
        <v>2024</v>
      </c>
      <c r="C406" s="3" t="s">
        <v>292</v>
      </c>
      <c r="D406" s="3">
        <v>2</v>
      </c>
      <c r="E406" s="3" t="s">
        <v>301</v>
      </c>
      <c r="F406" s="3" t="s">
        <v>297</v>
      </c>
      <c r="G406" s="36">
        <v>0</v>
      </c>
    </row>
    <row r="407" spans="1:7" x14ac:dyDescent="0.25">
      <c r="A407" s="34">
        <v>45330</v>
      </c>
      <c r="B407" s="3">
        <v>2024</v>
      </c>
      <c r="C407" s="3" t="s">
        <v>292</v>
      </c>
      <c r="D407" s="3">
        <v>2</v>
      </c>
      <c r="E407" s="3" t="s">
        <v>301</v>
      </c>
      <c r="F407" s="3" t="s">
        <v>298</v>
      </c>
      <c r="G407" s="36">
        <v>0</v>
      </c>
    </row>
    <row r="408" spans="1:7" x14ac:dyDescent="0.25">
      <c r="A408" s="34">
        <v>45331</v>
      </c>
      <c r="B408" s="3">
        <v>2024</v>
      </c>
      <c r="C408" s="3" t="s">
        <v>292</v>
      </c>
      <c r="D408" s="3">
        <v>2</v>
      </c>
      <c r="E408" s="3" t="s">
        <v>301</v>
      </c>
      <c r="F408" s="3" t="s">
        <v>299</v>
      </c>
      <c r="G408" s="36">
        <v>0</v>
      </c>
    </row>
    <row r="409" spans="1:7" x14ac:dyDescent="0.25">
      <c r="A409" s="34">
        <v>45332</v>
      </c>
      <c r="B409" s="3">
        <v>2024</v>
      </c>
      <c r="C409" s="3" t="s">
        <v>292</v>
      </c>
      <c r="D409" s="3">
        <v>2</v>
      </c>
      <c r="E409" s="3" t="s">
        <v>301</v>
      </c>
      <c r="F409" s="3" t="s">
        <v>300</v>
      </c>
      <c r="G409" s="35">
        <v>1</v>
      </c>
    </row>
    <row r="410" spans="1:7" x14ac:dyDescent="0.25">
      <c r="A410" s="34">
        <v>45333</v>
      </c>
      <c r="B410" s="3">
        <v>2024</v>
      </c>
      <c r="C410" s="3" t="s">
        <v>292</v>
      </c>
      <c r="D410" s="3">
        <v>2</v>
      </c>
      <c r="E410" s="3" t="s">
        <v>301</v>
      </c>
      <c r="F410" s="3" t="s">
        <v>294</v>
      </c>
      <c r="G410" s="35">
        <v>1</v>
      </c>
    </row>
    <row r="411" spans="1:7" x14ac:dyDescent="0.25">
      <c r="A411" s="34">
        <v>45334</v>
      </c>
      <c r="B411" s="3">
        <v>2024</v>
      </c>
      <c r="C411" s="3" t="s">
        <v>292</v>
      </c>
      <c r="D411" s="3">
        <v>2</v>
      </c>
      <c r="E411" s="3" t="s">
        <v>301</v>
      </c>
      <c r="F411" s="3" t="s">
        <v>295</v>
      </c>
      <c r="G411" s="36">
        <v>0</v>
      </c>
    </row>
    <row r="412" spans="1:7" x14ac:dyDescent="0.25">
      <c r="A412" s="34">
        <v>45335</v>
      </c>
      <c r="B412" s="3">
        <v>2024</v>
      </c>
      <c r="C412" s="3" t="s">
        <v>292</v>
      </c>
      <c r="D412" s="3">
        <v>2</v>
      </c>
      <c r="E412" s="3" t="s">
        <v>301</v>
      </c>
      <c r="F412" s="3" t="s">
        <v>296</v>
      </c>
      <c r="G412" s="36">
        <v>0</v>
      </c>
    </row>
    <row r="413" spans="1:7" x14ac:dyDescent="0.25">
      <c r="A413" s="34">
        <v>45336</v>
      </c>
      <c r="B413" s="3">
        <v>2024</v>
      </c>
      <c r="C413" s="3" t="s">
        <v>292</v>
      </c>
      <c r="D413" s="3">
        <v>2</v>
      </c>
      <c r="E413" s="3" t="s">
        <v>301</v>
      </c>
      <c r="F413" s="3" t="s">
        <v>297</v>
      </c>
      <c r="G413" s="36">
        <v>0</v>
      </c>
    </row>
    <row r="414" spans="1:7" x14ac:dyDescent="0.25">
      <c r="A414" s="34">
        <v>45337</v>
      </c>
      <c r="B414" s="3">
        <v>2024</v>
      </c>
      <c r="C414" s="3" t="s">
        <v>292</v>
      </c>
      <c r="D414" s="3">
        <v>2</v>
      </c>
      <c r="E414" s="3" t="s">
        <v>301</v>
      </c>
      <c r="F414" s="3" t="s">
        <v>298</v>
      </c>
      <c r="G414" s="36">
        <v>0</v>
      </c>
    </row>
    <row r="415" spans="1:7" x14ac:dyDescent="0.25">
      <c r="A415" s="34">
        <v>45338</v>
      </c>
      <c r="B415" s="3">
        <v>2024</v>
      </c>
      <c r="C415" s="3" t="s">
        <v>292</v>
      </c>
      <c r="D415" s="3">
        <v>2</v>
      </c>
      <c r="E415" s="3" t="s">
        <v>301</v>
      </c>
      <c r="F415" s="3" t="s">
        <v>299</v>
      </c>
      <c r="G415" s="36">
        <v>0</v>
      </c>
    </row>
    <row r="416" spans="1:7" x14ac:dyDescent="0.25">
      <c r="A416" s="34">
        <v>45339</v>
      </c>
      <c r="B416" s="3">
        <v>2024</v>
      </c>
      <c r="C416" s="3" t="s">
        <v>292</v>
      </c>
      <c r="D416" s="3">
        <v>2</v>
      </c>
      <c r="E416" s="3" t="s">
        <v>301</v>
      </c>
      <c r="F416" s="3" t="s">
        <v>300</v>
      </c>
      <c r="G416" s="35">
        <v>1</v>
      </c>
    </row>
    <row r="417" spans="1:7" x14ac:dyDescent="0.25">
      <c r="A417" s="34">
        <v>45340</v>
      </c>
      <c r="B417" s="3">
        <v>2024</v>
      </c>
      <c r="C417" s="3" t="s">
        <v>292</v>
      </c>
      <c r="D417" s="3">
        <v>2</v>
      </c>
      <c r="E417" s="3" t="s">
        <v>301</v>
      </c>
      <c r="F417" s="3" t="s">
        <v>294</v>
      </c>
      <c r="G417" s="35">
        <v>1</v>
      </c>
    </row>
    <row r="418" spans="1:7" x14ac:dyDescent="0.25">
      <c r="A418" s="34">
        <v>45341</v>
      </c>
      <c r="B418" s="3">
        <v>2024</v>
      </c>
      <c r="C418" s="3" t="s">
        <v>292</v>
      </c>
      <c r="D418" s="3">
        <v>2</v>
      </c>
      <c r="E418" s="3" t="s">
        <v>301</v>
      </c>
      <c r="F418" s="3" t="s">
        <v>295</v>
      </c>
      <c r="G418" s="36">
        <v>0</v>
      </c>
    </row>
    <row r="419" spans="1:7" x14ac:dyDescent="0.25">
      <c r="A419" s="34">
        <v>45342</v>
      </c>
      <c r="B419" s="3">
        <v>2024</v>
      </c>
      <c r="C419" s="3" t="s">
        <v>292</v>
      </c>
      <c r="D419" s="3">
        <v>2</v>
      </c>
      <c r="E419" s="3" t="s">
        <v>301</v>
      </c>
      <c r="F419" s="3" t="s">
        <v>296</v>
      </c>
      <c r="G419" s="36">
        <v>0</v>
      </c>
    </row>
    <row r="420" spans="1:7" x14ac:dyDescent="0.25">
      <c r="A420" s="34">
        <v>45343</v>
      </c>
      <c r="B420" s="3">
        <v>2024</v>
      </c>
      <c r="C420" s="3" t="s">
        <v>292</v>
      </c>
      <c r="D420" s="3">
        <v>2</v>
      </c>
      <c r="E420" s="3" t="s">
        <v>301</v>
      </c>
      <c r="F420" s="3" t="s">
        <v>297</v>
      </c>
      <c r="G420" s="36">
        <v>0</v>
      </c>
    </row>
    <row r="421" spans="1:7" x14ac:dyDescent="0.25">
      <c r="A421" s="34">
        <v>45344</v>
      </c>
      <c r="B421" s="3">
        <v>2024</v>
      </c>
      <c r="C421" s="3" t="s">
        <v>292</v>
      </c>
      <c r="D421" s="3">
        <v>2</v>
      </c>
      <c r="E421" s="3" t="s">
        <v>301</v>
      </c>
      <c r="F421" s="3" t="s">
        <v>298</v>
      </c>
      <c r="G421" s="36">
        <v>0</v>
      </c>
    </row>
    <row r="422" spans="1:7" x14ac:dyDescent="0.25">
      <c r="A422" s="34">
        <v>45345</v>
      </c>
      <c r="B422" s="3">
        <v>2024</v>
      </c>
      <c r="C422" s="3" t="s">
        <v>292</v>
      </c>
      <c r="D422" s="3">
        <v>2</v>
      </c>
      <c r="E422" s="3" t="s">
        <v>301</v>
      </c>
      <c r="F422" s="3" t="s">
        <v>299</v>
      </c>
      <c r="G422" s="36">
        <v>0</v>
      </c>
    </row>
    <row r="423" spans="1:7" x14ac:dyDescent="0.25">
      <c r="A423" s="34">
        <v>45346</v>
      </c>
      <c r="B423" s="3">
        <v>2024</v>
      </c>
      <c r="C423" s="3" t="s">
        <v>292</v>
      </c>
      <c r="D423" s="3">
        <v>2</v>
      </c>
      <c r="E423" s="3" t="s">
        <v>301</v>
      </c>
      <c r="F423" s="3" t="s">
        <v>300</v>
      </c>
      <c r="G423" s="35">
        <v>1</v>
      </c>
    </row>
    <row r="424" spans="1:7" x14ac:dyDescent="0.25">
      <c r="A424" s="34">
        <v>45347</v>
      </c>
      <c r="B424" s="3">
        <v>2024</v>
      </c>
      <c r="C424" s="3" t="s">
        <v>292</v>
      </c>
      <c r="D424" s="3">
        <v>2</v>
      </c>
      <c r="E424" s="3" t="s">
        <v>301</v>
      </c>
      <c r="F424" s="3" t="s">
        <v>294</v>
      </c>
      <c r="G424" s="35">
        <v>1</v>
      </c>
    </row>
    <row r="425" spans="1:7" x14ac:dyDescent="0.25">
      <c r="A425" s="34">
        <v>45348</v>
      </c>
      <c r="B425" s="3">
        <v>2024</v>
      </c>
      <c r="C425" s="3" t="s">
        <v>292</v>
      </c>
      <c r="D425" s="3">
        <v>2</v>
      </c>
      <c r="E425" s="3" t="s">
        <v>301</v>
      </c>
      <c r="F425" s="3" t="s">
        <v>295</v>
      </c>
      <c r="G425" s="36">
        <v>0</v>
      </c>
    </row>
    <row r="426" spans="1:7" x14ac:dyDescent="0.25">
      <c r="A426" s="34">
        <v>45349</v>
      </c>
      <c r="B426" s="3">
        <v>2024</v>
      </c>
      <c r="C426" s="3" t="s">
        <v>292</v>
      </c>
      <c r="D426" s="3">
        <v>2</v>
      </c>
      <c r="E426" s="3" t="s">
        <v>301</v>
      </c>
      <c r="F426" s="3" t="s">
        <v>296</v>
      </c>
      <c r="G426" s="36">
        <v>0</v>
      </c>
    </row>
    <row r="427" spans="1:7" x14ac:dyDescent="0.25">
      <c r="A427" s="34">
        <v>45350</v>
      </c>
      <c r="B427" s="3">
        <v>2024</v>
      </c>
      <c r="C427" s="3" t="s">
        <v>292</v>
      </c>
      <c r="D427" s="3">
        <v>2</v>
      </c>
      <c r="E427" s="3" t="s">
        <v>301</v>
      </c>
      <c r="F427" s="3" t="s">
        <v>297</v>
      </c>
      <c r="G427" s="36">
        <v>0</v>
      </c>
    </row>
    <row r="428" spans="1:7" x14ac:dyDescent="0.25">
      <c r="A428" s="34">
        <v>45351</v>
      </c>
      <c r="B428" s="3">
        <v>2024</v>
      </c>
      <c r="C428" s="3" t="s">
        <v>292</v>
      </c>
      <c r="D428" s="3">
        <v>2</v>
      </c>
      <c r="E428" s="3" t="s">
        <v>301</v>
      </c>
      <c r="F428" s="3" t="s">
        <v>298</v>
      </c>
      <c r="G428" s="36">
        <v>0</v>
      </c>
    </row>
    <row r="429" spans="1:7" x14ac:dyDescent="0.25">
      <c r="A429" s="34">
        <v>45352</v>
      </c>
      <c r="B429" s="3">
        <v>2024</v>
      </c>
      <c r="C429" s="3" t="s">
        <v>292</v>
      </c>
      <c r="D429" s="3">
        <v>3</v>
      </c>
      <c r="E429" s="3" t="s">
        <v>302</v>
      </c>
      <c r="F429" s="3" t="s">
        <v>299</v>
      </c>
      <c r="G429" s="36">
        <v>0</v>
      </c>
    </row>
    <row r="430" spans="1:7" x14ac:dyDescent="0.25">
      <c r="A430" s="34">
        <v>45353</v>
      </c>
      <c r="B430" s="3">
        <v>2024</v>
      </c>
      <c r="C430" s="3" t="s">
        <v>292</v>
      </c>
      <c r="D430" s="3">
        <v>3</v>
      </c>
      <c r="E430" s="3" t="s">
        <v>302</v>
      </c>
      <c r="F430" s="3" t="s">
        <v>300</v>
      </c>
      <c r="G430" s="35">
        <v>1</v>
      </c>
    </row>
    <row r="431" spans="1:7" x14ac:dyDescent="0.25">
      <c r="A431" s="34">
        <v>45354</v>
      </c>
      <c r="B431" s="3">
        <v>2024</v>
      </c>
      <c r="C431" s="3" t="s">
        <v>292</v>
      </c>
      <c r="D431" s="3">
        <v>3</v>
      </c>
      <c r="E431" s="3" t="s">
        <v>302</v>
      </c>
      <c r="F431" s="3" t="s">
        <v>294</v>
      </c>
      <c r="G431" s="35">
        <v>1</v>
      </c>
    </row>
    <row r="432" spans="1:7" x14ac:dyDescent="0.25">
      <c r="A432" s="34">
        <v>45355</v>
      </c>
      <c r="B432" s="3">
        <v>2024</v>
      </c>
      <c r="C432" s="3" t="s">
        <v>292</v>
      </c>
      <c r="D432" s="3">
        <v>3</v>
      </c>
      <c r="E432" s="3" t="s">
        <v>302</v>
      </c>
      <c r="F432" s="3" t="s">
        <v>295</v>
      </c>
      <c r="G432" s="36">
        <v>0</v>
      </c>
    </row>
    <row r="433" spans="1:7" x14ac:dyDescent="0.25">
      <c r="A433" s="34">
        <v>45356</v>
      </c>
      <c r="B433" s="3">
        <v>2024</v>
      </c>
      <c r="C433" s="3" t="s">
        <v>292</v>
      </c>
      <c r="D433" s="3">
        <v>3</v>
      </c>
      <c r="E433" s="3" t="s">
        <v>302</v>
      </c>
      <c r="F433" s="3" t="s">
        <v>296</v>
      </c>
      <c r="G433" s="36">
        <v>0</v>
      </c>
    </row>
    <row r="434" spans="1:7" x14ac:dyDescent="0.25">
      <c r="A434" s="34">
        <v>45357</v>
      </c>
      <c r="B434" s="3">
        <v>2024</v>
      </c>
      <c r="C434" s="3" t="s">
        <v>292</v>
      </c>
      <c r="D434" s="3">
        <v>3</v>
      </c>
      <c r="E434" s="3" t="s">
        <v>302</v>
      </c>
      <c r="F434" s="3" t="s">
        <v>297</v>
      </c>
      <c r="G434" s="36">
        <v>0</v>
      </c>
    </row>
    <row r="435" spans="1:7" x14ac:dyDescent="0.25">
      <c r="A435" s="34">
        <v>45358</v>
      </c>
      <c r="B435" s="3">
        <v>2024</v>
      </c>
      <c r="C435" s="3" t="s">
        <v>292</v>
      </c>
      <c r="D435" s="3">
        <v>3</v>
      </c>
      <c r="E435" s="3" t="s">
        <v>302</v>
      </c>
      <c r="F435" s="3" t="s">
        <v>298</v>
      </c>
      <c r="G435" s="36">
        <v>0</v>
      </c>
    </row>
    <row r="436" spans="1:7" x14ac:dyDescent="0.25">
      <c r="A436" s="34">
        <v>45359</v>
      </c>
      <c r="B436" s="3">
        <v>2024</v>
      </c>
      <c r="C436" s="3" t="s">
        <v>292</v>
      </c>
      <c r="D436" s="3">
        <v>3</v>
      </c>
      <c r="E436" s="3" t="s">
        <v>302</v>
      </c>
      <c r="F436" s="3" t="s">
        <v>299</v>
      </c>
      <c r="G436" s="36">
        <v>0</v>
      </c>
    </row>
    <row r="437" spans="1:7" x14ac:dyDescent="0.25">
      <c r="A437" s="34">
        <v>45360</v>
      </c>
      <c r="B437" s="3">
        <v>2024</v>
      </c>
      <c r="C437" s="3" t="s">
        <v>292</v>
      </c>
      <c r="D437" s="3">
        <v>3</v>
      </c>
      <c r="E437" s="3" t="s">
        <v>302</v>
      </c>
      <c r="F437" s="3" t="s">
        <v>300</v>
      </c>
      <c r="G437" s="35">
        <v>1</v>
      </c>
    </row>
    <row r="438" spans="1:7" x14ac:dyDescent="0.25">
      <c r="A438" s="34">
        <v>45361</v>
      </c>
      <c r="B438" s="3">
        <v>2024</v>
      </c>
      <c r="C438" s="3" t="s">
        <v>292</v>
      </c>
      <c r="D438" s="3">
        <v>3</v>
      </c>
      <c r="E438" s="3" t="s">
        <v>302</v>
      </c>
      <c r="F438" s="3" t="s">
        <v>294</v>
      </c>
      <c r="G438" s="35">
        <v>1</v>
      </c>
    </row>
    <row r="439" spans="1:7" x14ac:dyDescent="0.25">
      <c r="A439" s="34">
        <v>45362</v>
      </c>
      <c r="B439" s="3">
        <v>2024</v>
      </c>
      <c r="C439" s="3" t="s">
        <v>292</v>
      </c>
      <c r="D439" s="3">
        <v>3</v>
      </c>
      <c r="E439" s="3" t="s">
        <v>302</v>
      </c>
      <c r="F439" s="3" t="s">
        <v>295</v>
      </c>
      <c r="G439" s="36">
        <v>0</v>
      </c>
    </row>
    <row r="440" spans="1:7" x14ac:dyDescent="0.25">
      <c r="A440" s="34">
        <v>45363</v>
      </c>
      <c r="B440" s="3">
        <v>2024</v>
      </c>
      <c r="C440" s="3" t="s">
        <v>292</v>
      </c>
      <c r="D440" s="3">
        <v>3</v>
      </c>
      <c r="E440" s="3" t="s">
        <v>302</v>
      </c>
      <c r="F440" s="3" t="s">
        <v>296</v>
      </c>
      <c r="G440" s="36">
        <v>0</v>
      </c>
    </row>
    <row r="441" spans="1:7" x14ac:dyDescent="0.25">
      <c r="A441" s="34">
        <v>45364</v>
      </c>
      <c r="B441" s="3">
        <v>2024</v>
      </c>
      <c r="C441" s="3" t="s">
        <v>292</v>
      </c>
      <c r="D441" s="3">
        <v>3</v>
      </c>
      <c r="E441" s="3" t="s">
        <v>302</v>
      </c>
      <c r="F441" s="3" t="s">
        <v>297</v>
      </c>
      <c r="G441" s="36">
        <v>0</v>
      </c>
    </row>
    <row r="442" spans="1:7" x14ac:dyDescent="0.25">
      <c r="A442" s="34">
        <v>45365</v>
      </c>
      <c r="B442" s="3">
        <v>2024</v>
      </c>
      <c r="C442" s="3" t="s">
        <v>292</v>
      </c>
      <c r="D442" s="3">
        <v>3</v>
      </c>
      <c r="E442" s="3" t="s">
        <v>302</v>
      </c>
      <c r="F442" s="3" t="s">
        <v>298</v>
      </c>
      <c r="G442" s="36">
        <v>0</v>
      </c>
    </row>
    <row r="443" spans="1:7" x14ac:dyDescent="0.25">
      <c r="A443" s="34">
        <v>45366</v>
      </c>
      <c r="B443" s="3">
        <v>2024</v>
      </c>
      <c r="C443" s="3" t="s">
        <v>292</v>
      </c>
      <c r="D443" s="3">
        <v>3</v>
      </c>
      <c r="E443" s="3" t="s">
        <v>302</v>
      </c>
      <c r="F443" s="3" t="s">
        <v>299</v>
      </c>
      <c r="G443" s="36">
        <v>0</v>
      </c>
    </row>
    <row r="444" spans="1:7" x14ac:dyDescent="0.25">
      <c r="A444" s="34">
        <v>45367</v>
      </c>
      <c r="B444" s="3">
        <v>2024</v>
      </c>
      <c r="C444" s="3" t="s">
        <v>292</v>
      </c>
      <c r="D444" s="3">
        <v>3</v>
      </c>
      <c r="E444" s="3" t="s">
        <v>302</v>
      </c>
      <c r="F444" s="3" t="s">
        <v>300</v>
      </c>
      <c r="G444" s="35">
        <v>1</v>
      </c>
    </row>
    <row r="445" spans="1:7" x14ac:dyDescent="0.25">
      <c r="A445" s="34">
        <v>45368</v>
      </c>
      <c r="B445" s="3">
        <v>2024</v>
      </c>
      <c r="C445" s="3" t="s">
        <v>292</v>
      </c>
      <c r="D445" s="3">
        <v>3</v>
      </c>
      <c r="E445" s="3" t="s">
        <v>302</v>
      </c>
      <c r="F445" s="3" t="s">
        <v>294</v>
      </c>
      <c r="G445" s="35">
        <v>1</v>
      </c>
    </row>
    <row r="446" spans="1:7" x14ac:dyDescent="0.25">
      <c r="A446" s="34">
        <v>45369</v>
      </c>
      <c r="B446" s="3">
        <v>2024</v>
      </c>
      <c r="C446" s="3" t="s">
        <v>292</v>
      </c>
      <c r="D446" s="3">
        <v>3</v>
      </c>
      <c r="E446" s="3" t="s">
        <v>302</v>
      </c>
      <c r="F446" s="3" t="s">
        <v>295</v>
      </c>
      <c r="G446" s="36">
        <v>0</v>
      </c>
    </row>
    <row r="447" spans="1:7" x14ac:dyDescent="0.25">
      <c r="A447" s="34">
        <v>45370</v>
      </c>
      <c r="B447" s="3">
        <v>2024</v>
      </c>
      <c r="C447" s="3" t="s">
        <v>292</v>
      </c>
      <c r="D447" s="3">
        <v>3</v>
      </c>
      <c r="E447" s="3" t="s">
        <v>302</v>
      </c>
      <c r="F447" s="3" t="s">
        <v>296</v>
      </c>
      <c r="G447" s="36">
        <v>0</v>
      </c>
    </row>
    <row r="448" spans="1:7" x14ac:dyDescent="0.25">
      <c r="A448" s="34">
        <v>45371</v>
      </c>
      <c r="B448" s="3">
        <v>2024</v>
      </c>
      <c r="C448" s="3" t="s">
        <v>292</v>
      </c>
      <c r="D448" s="3">
        <v>3</v>
      </c>
      <c r="E448" s="3" t="s">
        <v>302</v>
      </c>
      <c r="F448" s="3" t="s">
        <v>297</v>
      </c>
      <c r="G448" s="36">
        <v>0</v>
      </c>
    </row>
    <row r="449" spans="1:7" x14ac:dyDescent="0.25">
      <c r="A449" s="34">
        <v>45372</v>
      </c>
      <c r="B449" s="3">
        <v>2024</v>
      </c>
      <c r="C449" s="3" t="s">
        <v>292</v>
      </c>
      <c r="D449" s="3">
        <v>3</v>
      </c>
      <c r="E449" s="3" t="s">
        <v>302</v>
      </c>
      <c r="F449" s="3" t="s">
        <v>298</v>
      </c>
      <c r="G449" s="36">
        <v>0</v>
      </c>
    </row>
    <row r="450" spans="1:7" x14ac:dyDescent="0.25">
      <c r="A450" s="34">
        <v>45373</v>
      </c>
      <c r="B450" s="3">
        <v>2024</v>
      </c>
      <c r="C450" s="3" t="s">
        <v>292</v>
      </c>
      <c r="D450" s="3">
        <v>3</v>
      </c>
      <c r="E450" s="3" t="s">
        <v>302</v>
      </c>
      <c r="F450" s="3" t="s">
        <v>299</v>
      </c>
      <c r="G450" s="36">
        <v>0</v>
      </c>
    </row>
    <row r="451" spans="1:7" x14ac:dyDescent="0.25">
      <c r="A451" s="34">
        <v>45374</v>
      </c>
      <c r="B451" s="3">
        <v>2024</v>
      </c>
      <c r="C451" s="3" t="s">
        <v>292</v>
      </c>
      <c r="D451" s="3">
        <v>3</v>
      </c>
      <c r="E451" s="3" t="s">
        <v>302</v>
      </c>
      <c r="F451" s="3" t="s">
        <v>300</v>
      </c>
      <c r="G451" s="35">
        <v>1</v>
      </c>
    </row>
    <row r="452" spans="1:7" x14ac:dyDescent="0.25">
      <c r="A452" s="34">
        <v>45375</v>
      </c>
      <c r="B452" s="3">
        <v>2024</v>
      </c>
      <c r="C452" s="3" t="s">
        <v>292</v>
      </c>
      <c r="D452" s="3">
        <v>3</v>
      </c>
      <c r="E452" s="3" t="s">
        <v>302</v>
      </c>
      <c r="F452" s="3" t="s">
        <v>294</v>
      </c>
      <c r="G452" s="35">
        <v>1</v>
      </c>
    </row>
    <row r="453" spans="1:7" x14ac:dyDescent="0.25">
      <c r="A453" s="34">
        <v>45376</v>
      </c>
      <c r="B453" s="3">
        <v>2024</v>
      </c>
      <c r="C453" s="3" t="s">
        <v>292</v>
      </c>
      <c r="D453" s="3">
        <v>3</v>
      </c>
      <c r="E453" s="3" t="s">
        <v>302</v>
      </c>
      <c r="F453" s="3" t="s">
        <v>295</v>
      </c>
      <c r="G453" s="36">
        <v>0</v>
      </c>
    </row>
    <row r="454" spans="1:7" x14ac:dyDescent="0.25">
      <c r="A454" s="34">
        <v>45377</v>
      </c>
      <c r="B454" s="3">
        <v>2024</v>
      </c>
      <c r="C454" s="3" t="s">
        <v>292</v>
      </c>
      <c r="D454" s="3">
        <v>3</v>
      </c>
      <c r="E454" s="3" t="s">
        <v>302</v>
      </c>
      <c r="F454" s="3" t="s">
        <v>296</v>
      </c>
      <c r="G454" s="36">
        <v>0</v>
      </c>
    </row>
    <row r="455" spans="1:7" x14ac:dyDescent="0.25">
      <c r="A455" s="34">
        <v>45378</v>
      </c>
      <c r="B455" s="3">
        <v>2024</v>
      </c>
      <c r="C455" s="3" t="s">
        <v>292</v>
      </c>
      <c r="D455" s="3">
        <v>3</v>
      </c>
      <c r="E455" s="3" t="s">
        <v>302</v>
      </c>
      <c r="F455" s="3" t="s">
        <v>297</v>
      </c>
      <c r="G455" s="36">
        <v>0</v>
      </c>
    </row>
    <row r="456" spans="1:7" x14ac:dyDescent="0.25">
      <c r="A456" s="34">
        <v>45379</v>
      </c>
      <c r="B456" s="3">
        <v>2024</v>
      </c>
      <c r="C456" s="3" t="s">
        <v>292</v>
      </c>
      <c r="D456" s="3">
        <v>3</v>
      </c>
      <c r="E456" s="3" t="s">
        <v>302</v>
      </c>
      <c r="F456" s="3" t="s">
        <v>298</v>
      </c>
      <c r="G456" s="36">
        <v>0</v>
      </c>
    </row>
    <row r="457" spans="1:7" x14ac:dyDescent="0.25">
      <c r="A457" s="34">
        <v>45380</v>
      </c>
      <c r="B457" s="3">
        <v>2024</v>
      </c>
      <c r="C457" s="3" t="s">
        <v>292</v>
      </c>
      <c r="D457" s="3">
        <v>3</v>
      </c>
      <c r="E457" s="3" t="s">
        <v>302</v>
      </c>
      <c r="F457" s="3" t="s">
        <v>299</v>
      </c>
      <c r="G457" s="36">
        <v>0</v>
      </c>
    </row>
    <row r="458" spans="1:7" x14ac:dyDescent="0.25">
      <c r="A458" s="34">
        <v>45381</v>
      </c>
      <c r="B458" s="3">
        <v>2024</v>
      </c>
      <c r="C458" s="3" t="s">
        <v>292</v>
      </c>
      <c r="D458" s="3">
        <v>3</v>
      </c>
      <c r="E458" s="3" t="s">
        <v>302</v>
      </c>
      <c r="F458" s="3" t="s">
        <v>300</v>
      </c>
      <c r="G458" s="35">
        <v>1</v>
      </c>
    </row>
    <row r="459" spans="1:7" x14ac:dyDescent="0.25">
      <c r="A459" s="34">
        <v>45382</v>
      </c>
      <c r="B459" s="3">
        <v>2024</v>
      </c>
      <c r="C459" s="3" t="s">
        <v>292</v>
      </c>
      <c r="D459" s="3">
        <v>3</v>
      </c>
      <c r="E459" s="3" t="s">
        <v>302</v>
      </c>
      <c r="F459" s="3" t="s">
        <v>294</v>
      </c>
      <c r="G459" s="35">
        <v>1</v>
      </c>
    </row>
    <row r="460" spans="1:7" x14ac:dyDescent="0.25">
      <c r="A460" s="34">
        <v>45383</v>
      </c>
      <c r="B460" s="3">
        <v>2024</v>
      </c>
      <c r="C460" s="3" t="s">
        <v>303</v>
      </c>
      <c r="D460" s="3">
        <v>4</v>
      </c>
      <c r="E460" s="3" t="s">
        <v>304</v>
      </c>
      <c r="F460" s="3" t="s">
        <v>295</v>
      </c>
      <c r="G460" s="36">
        <v>0</v>
      </c>
    </row>
    <row r="461" spans="1:7" x14ac:dyDescent="0.25">
      <c r="A461" s="34">
        <v>45384</v>
      </c>
      <c r="B461" s="3">
        <v>2024</v>
      </c>
      <c r="C461" s="3" t="s">
        <v>303</v>
      </c>
      <c r="D461" s="3">
        <v>4</v>
      </c>
      <c r="E461" s="3" t="s">
        <v>304</v>
      </c>
      <c r="F461" s="3" t="s">
        <v>296</v>
      </c>
      <c r="G461" s="36">
        <v>0</v>
      </c>
    </row>
    <row r="462" spans="1:7" x14ac:dyDescent="0.25">
      <c r="A462" s="34">
        <v>45385</v>
      </c>
      <c r="B462" s="3">
        <v>2024</v>
      </c>
      <c r="C462" s="3" t="s">
        <v>303</v>
      </c>
      <c r="D462" s="3">
        <v>4</v>
      </c>
      <c r="E462" s="3" t="s">
        <v>304</v>
      </c>
      <c r="F462" s="3" t="s">
        <v>297</v>
      </c>
      <c r="G462" s="36">
        <v>0</v>
      </c>
    </row>
    <row r="463" spans="1:7" x14ac:dyDescent="0.25">
      <c r="A463" s="34">
        <v>45386</v>
      </c>
      <c r="B463" s="3">
        <v>2024</v>
      </c>
      <c r="C463" s="3" t="s">
        <v>303</v>
      </c>
      <c r="D463" s="3">
        <v>4</v>
      </c>
      <c r="E463" s="3" t="s">
        <v>304</v>
      </c>
      <c r="F463" s="3" t="s">
        <v>298</v>
      </c>
      <c r="G463" s="36">
        <v>0</v>
      </c>
    </row>
    <row r="464" spans="1:7" x14ac:dyDescent="0.25">
      <c r="A464" s="34">
        <v>45387</v>
      </c>
      <c r="B464" s="3">
        <v>2024</v>
      </c>
      <c r="C464" s="3" t="s">
        <v>303</v>
      </c>
      <c r="D464" s="3">
        <v>4</v>
      </c>
      <c r="E464" s="3" t="s">
        <v>304</v>
      </c>
      <c r="F464" s="3" t="s">
        <v>299</v>
      </c>
      <c r="G464" s="36">
        <v>0</v>
      </c>
    </row>
    <row r="465" spans="1:7" x14ac:dyDescent="0.25">
      <c r="A465" s="34">
        <v>45388</v>
      </c>
      <c r="B465" s="3">
        <v>2024</v>
      </c>
      <c r="C465" s="3" t="s">
        <v>303</v>
      </c>
      <c r="D465" s="3">
        <v>4</v>
      </c>
      <c r="E465" s="3" t="s">
        <v>304</v>
      </c>
      <c r="F465" s="3" t="s">
        <v>300</v>
      </c>
      <c r="G465" s="35">
        <v>1</v>
      </c>
    </row>
    <row r="466" spans="1:7" x14ac:dyDescent="0.25">
      <c r="A466" s="34">
        <v>45389</v>
      </c>
      <c r="B466" s="3">
        <v>2024</v>
      </c>
      <c r="C466" s="3" t="s">
        <v>303</v>
      </c>
      <c r="D466" s="3">
        <v>4</v>
      </c>
      <c r="E466" s="3" t="s">
        <v>304</v>
      </c>
      <c r="F466" s="3" t="s">
        <v>294</v>
      </c>
      <c r="G466" s="35">
        <v>1</v>
      </c>
    </row>
    <row r="467" spans="1:7" x14ac:dyDescent="0.25">
      <c r="A467" s="34">
        <v>45390</v>
      </c>
      <c r="B467" s="3">
        <v>2024</v>
      </c>
      <c r="C467" s="3" t="s">
        <v>303</v>
      </c>
      <c r="D467" s="3">
        <v>4</v>
      </c>
      <c r="E467" s="3" t="s">
        <v>304</v>
      </c>
      <c r="F467" s="3" t="s">
        <v>295</v>
      </c>
      <c r="G467" s="36">
        <v>0</v>
      </c>
    </row>
    <row r="468" spans="1:7" x14ac:dyDescent="0.25">
      <c r="A468" s="34">
        <v>45391</v>
      </c>
      <c r="B468" s="3">
        <v>2024</v>
      </c>
      <c r="C468" s="3" t="s">
        <v>303</v>
      </c>
      <c r="D468" s="3">
        <v>4</v>
      </c>
      <c r="E468" s="3" t="s">
        <v>304</v>
      </c>
      <c r="F468" s="3" t="s">
        <v>296</v>
      </c>
      <c r="G468" s="36">
        <v>0</v>
      </c>
    </row>
    <row r="469" spans="1:7" x14ac:dyDescent="0.25">
      <c r="A469" s="34">
        <v>45392</v>
      </c>
      <c r="B469" s="3">
        <v>2024</v>
      </c>
      <c r="C469" s="3" t="s">
        <v>303</v>
      </c>
      <c r="D469" s="3">
        <v>4</v>
      </c>
      <c r="E469" s="3" t="s">
        <v>304</v>
      </c>
      <c r="F469" s="3" t="s">
        <v>297</v>
      </c>
      <c r="G469" s="36">
        <v>0</v>
      </c>
    </row>
    <row r="470" spans="1:7" x14ac:dyDescent="0.25">
      <c r="A470" s="34">
        <v>45393</v>
      </c>
      <c r="B470" s="3">
        <v>2024</v>
      </c>
      <c r="C470" s="3" t="s">
        <v>303</v>
      </c>
      <c r="D470" s="3">
        <v>4</v>
      </c>
      <c r="E470" s="3" t="s">
        <v>304</v>
      </c>
      <c r="F470" s="3" t="s">
        <v>298</v>
      </c>
      <c r="G470" s="36">
        <v>0</v>
      </c>
    </row>
    <row r="471" spans="1:7" x14ac:dyDescent="0.25">
      <c r="A471" s="34">
        <v>45394</v>
      </c>
      <c r="B471" s="3">
        <v>2024</v>
      </c>
      <c r="C471" s="3" t="s">
        <v>303</v>
      </c>
      <c r="D471" s="3">
        <v>4</v>
      </c>
      <c r="E471" s="3" t="s">
        <v>304</v>
      </c>
      <c r="F471" s="3" t="s">
        <v>299</v>
      </c>
      <c r="G471" s="36">
        <v>0</v>
      </c>
    </row>
    <row r="472" spans="1:7" x14ac:dyDescent="0.25">
      <c r="A472" s="34">
        <v>45395</v>
      </c>
      <c r="B472" s="3">
        <v>2024</v>
      </c>
      <c r="C472" s="3" t="s">
        <v>303</v>
      </c>
      <c r="D472" s="3">
        <v>4</v>
      </c>
      <c r="E472" s="3" t="s">
        <v>304</v>
      </c>
      <c r="F472" s="3" t="s">
        <v>300</v>
      </c>
      <c r="G472" s="35">
        <v>1</v>
      </c>
    </row>
    <row r="473" spans="1:7" x14ac:dyDescent="0.25">
      <c r="A473" s="34">
        <v>45396</v>
      </c>
      <c r="B473" s="3">
        <v>2024</v>
      </c>
      <c r="C473" s="3" t="s">
        <v>303</v>
      </c>
      <c r="D473" s="3">
        <v>4</v>
      </c>
      <c r="E473" s="3" t="s">
        <v>304</v>
      </c>
      <c r="F473" s="3" t="s">
        <v>294</v>
      </c>
      <c r="G473" s="35">
        <v>1</v>
      </c>
    </row>
    <row r="474" spans="1:7" x14ac:dyDescent="0.25">
      <c r="A474" s="34">
        <v>45397</v>
      </c>
      <c r="B474" s="3">
        <v>2024</v>
      </c>
      <c r="C474" s="3" t="s">
        <v>303</v>
      </c>
      <c r="D474" s="3">
        <v>4</v>
      </c>
      <c r="E474" s="3" t="s">
        <v>304</v>
      </c>
      <c r="F474" s="3" t="s">
        <v>295</v>
      </c>
      <c r="G474" s="36">
        <v>0</v>
      </c>
    </row>
    <row r="475" spans="1:7" x14ac:dyDescent="0.25">
      <c r="A475" s="34">
        <v>45398</v>
      </c>
      <c r="B475" s="3">
        <v>2024</v>
      </c>
      <c r="C475" s="3" t="s">
        <v>303</v>
      </c>
      <c r="D475" s="3">
        <v>4</v>
      </c>
      <c r="E475" s="3" t="s">
        <v>304</v>
      </c>
      <c r="F475" s="3" t="s">
        <v>296</v>
      </c>
      <c r="G475" s="36">
        <v>0</v>
      </c>
    </row>
    <row r="476" spans="1:7" x14ac:dyDescent="0.25">
      <c r="A476" s="34">
        <v>45399</v>
      </c>
      <c r="B476" s="3">
        <v>2024</v>
      </c>
      <c r="C476" s="3" t="s">
        <v>303</v>
      </c>
      <c r="D476" s="3">
        <v>4</v>
      </c>
      <c r="E476" s="3" t="s">
        <v>304</v>
      </c>
      <c r="F476" s="3" t="s">
        <v>297</v>
      </c>
      <c r="G476" s="36">
        <v>0</v>
      </c>
    </row>
    <row r="477" spans="1:7" x14ac:dyDescent="0.25">
      <c r="A477" s="34">
        <v>45400</v>
      </c>
      <c r="B477" s="3">
        <v>2024</v>
      </c>
      <c r="C477" s="3" t="s">
        <v>303</v>
      </c>
      <c r="D477" s="3">
        <v>4</v>
      </c>
      <c r="E477" s="3" t="s">
        <v>304</v>
      </c>
      <c r="F477" s="3" t="s">
        <v>298</v>
      </c>
      <c r="G477" s="36">
        <v>0</v>
      </c>
    </row>
    <row r="478" spans="1:7" x14ac:dyDescent="0.25">
      <c r="A478" s="34">
        <v>45401</v>
      </c>
      <c r="B478" s="3">
        <v>2024</v>
      </c>
      <c r="C478" s="3" t="s">
        <v>303</v>
      </c>
      <c r="D478" s="3">
        <v>4</v>
      </c>
      <c r="E478" s="3" t="s">
        <v>304</v>
      </c>
      <c r="F478" s="3" t="s">
        <v>299</v>
      </c>
      <c r="G478" s="36">
        <v>0</v>
      </c>
    </row>
    <row r="479" spans="1:7" x14ac:dyDescent="0.25">
      <c r="A479" s="34">
        <v>45402</v>
      </c>
      <c r="B479" s="3">
        <v>2024</v>
      </c>
      <c r="C479" s="3" t="s">
        <v>303</v>
      </c>
      <c r="D479" s="3">
        <v>4</v>
      </c>
      <c r="E479" s="3" t="s">
        <v>304</v>
      </c>
      <c r="F479" s="3" t="s">
        <v>300</v>
      </c>
      <c r="G479" s="35">
        <v>1</v>
      </c>
    </row>
    <row r="480" spans="1:7" x14ac:dyDescent="0.25">
      <c r="A480" s="34">
        <v>45403</v>
      </c>
      <c r="B480" s="3">
        <v>2024</v>
      </c>
      <c r="C480" s="3" t="s">
        <v>303</v>
      </c>
      <c r="D480" s="3">
        <v>4</v>
      </c>
      <c r="E480" s="3" t="s">
        <v>304</v>
      </c>
      <c r="F480" s="3" t="s">
        <v>294</v>
      </c>
      <c r="G480" s="35">
        <v>1</v>
      </c>
    </row>
    <row r="481" spans="1:7" x14ac:dyDescent="0.25">
      <c r="A481" s="34">
        <v>45404</v>
      </c>
      <c r="B481" s="3">
        <v>2024</v>
      </c>
      <c r="C481" s="3" t="s">
        <v>303</v>
      </c>
      <c r="D481" s="3">
        <v>4</v>
      </c>
      <c r="E481" s="3" t="s">
        <v>304</v>
      </c>
      <c r="F481" s="3" t="s">
        <v>295</v>
      </c>
      <c r="G481" s="36">
        <v>0</v>
      </c>
    </row>
    <row r="482" spans="1:7" x14ac:dyDescent="0.25">
      <c r="A482" s="34">
        <v>45405</v>
      </c>
      <c r="B482" s="3">
        <v>2024</v>
      </c>
      <c r="C482" s="3" t="s">
        <v>303</v>
      </c>
      <c r="D482" s="3">
        <v>4</v>
      </c>
      <c r="E482" s="3" t="s">
        <v>304</v>
      </c>
      <c r="F482" s="3" t="s">
        <v>296</v>
      </c>
      <c r="G482" s="36">
        <v>0</v>
      </c>
    </row>
    <row r="483" spans="1:7" x14ac:dyDescent="0.25">
      <c r="A483" s="34">
        <v>45406</v>
      </c>
      <c r="B483" s="3">
        <v>2024</v>
      </c>
      <c r="C483" s="3" t="s">
        <v>303</v>
      </c>
      <c r="D483" s="3">
        <v>4</v>
      </c>
      <c r="E483" s="3" t="s">
        <v>304</v>
      </c>
      <c r="F483" s="3" t="s">
        <v>297</v>
      </c>
      <c r="G483" s="36">
        <v>0</v>
      </c>
    </row>
    <row r="484" spans="1:7" x14ac:dyDescent="0.25">
      <c r="A484" s="34">
        <v>45407</v>
      </c>
      <c r="B484" s="3">
        <v>2024</v>
      </c>
      <c r="C484" s="3" t="s">
        <v>303</v>
      </c>
      <c r="D484" s="3">
        <v>4</v>
      </c>
      <c r="E484" s="3" t="s">
        <v>304</v>
      </c>
      <c r="F484" s="3" t="s">
        <v>298</v>
      </c>
      <c r="G484" s="36">
        <v>0</v>
      </c>
    </row>
    <row r="485" spans="1:7" x14ac:dyDescent="0.25">
      <c r="A485" s="34">
        <v>45408</v>
      </c>
      <c r="B485" s="3">
        <v>2024</v>
      </c>
      <c r="C485" s="3" t="s">
        <v>303</v>
      </c>
      <c r="D485" s="3">
        <v>4</v>
      </c>
      <c r="E485" s="3" t="s">
        <v>304</v>
      </c>
      <c r="F485" s="3" t="s">
        <v>299</v>
      </c>
      <c r="G485" s="36">
        <v>0</v>
      </c>
    </row>
    <row r="486" spans="1:7" x14ac:dyDescent="0.25">
      <c r="A486" s="34">
        <v>45409</v>
      </c>
      <c r="B486" s="3">
        <v>2024</v>
      </c>
      <c r="C486" s="3" t="s">
        <v>303</v>
      </c>
      <c r="D486" s="3">
        <v>4</v>
      </c>
      <c r="E486" s="3" t="s">
        <v>304</v>
      </c>
      <c r="F486" s="3" t="s">
        <v>300</v>
      </c>
      <c r="G486" s="35">
        <v>1</v>
      </c>
    </row>
    <row r="487" spans="1:7" x14ac:dyDescent="0.25">
      <c r="A487" s="34">
        <v>45410</v>
      </c>
      <c r="B487" s="3">
        <v>2024</v>
      </c>
      <c r="C487" s="3" t="s">
        <v>303</v>
      </c>
      <c r="D487" s="3">
        <v>4</v>
      </c>
      <c r="E487" s="3" t="s">
        <v>304</v>
      </c>
      <c r="F487" s="3" t="s">
        <v>294</v>
      </c>
      <c r="G487" s="35">
        <v>1</v>
      </c>
    </row>
    <row r="488" spans="1:7" x14ac:dyDescent="0.25">
      <c r="A488" s="34">
        <v>45411</v>
      </c>
      <c r="B488" s="3">
        <v>2024</v>
      </c>
      <c r="C488" s="3" t="s">
        <v>303</v>
      </c>
      <c r="D488" s="3">
        <v>4</v>
      </c>
      <c r="E488" s="3" t="s">
        <v>304</v>
      </c>
      <c r="F488" s="3" t="s">
        <v>295</v>
      </c>
      <c r="G488" s="36">
        <v>0</v>
      </c>
    </row>
    <row r="489" spans="1:7" x14ac:dyDescent="0.25">
      <c r="A489" s="34">
        <v>45412</v>
      </c>
      <c r="B489" s="3">
        <v>2024</v>
      </c>
      <c r="C489" s="3" t="s">
        <v>303</v>
      </c>
      <c r="D489" s="3">
        <v>4</v>
      </c>
      <c r="E489" s="3" t="s">
        <v>304</v>
      </c>
      <c r="F489" s="3" t="s">
        <v>296</v>
      </c>
      <c r="G489" s="36">
        <v>0</v>
      </c>
    </row>
    <row r="490" spans="1:7" x14ac:dyDescent="0.25">
      <c r="A490" s="34">
        <v>45413</v>
      </c>
      <c r="B490" s="3">
        <v>2024</v>
      </c>
      <c r="C490" s="3" t="s">
        <v>303</v>
      </c>
      <c r="D490" s="3">
        <v>5</v>
      </c>
      <c r="E490" s="3" t="s">
        <v>305</v>
      </c>
      <c r="F490" s="3" t="s">
        <v>297</v>
      </c>
      <c r="G490" s="36">
        <v>0</v>
      </c>
    </row>
    <row r="491" spans="1:7" x14ac:dyDescent="0.25">
      <c r="A491" s="34">
        <v>45414</v>
      </c>
      <c r="B491" s="3">
        <v>2024</v>
      </c>
      <c r="C491" s="3" t="s">
        <v>303</v>
      </c>
      <c r="D491" s="3">
        <v>5</v>
      </c>
      <c r="E491" s="3" t="s">
        <v>305</v>
      </c>
      <c r="F491" s="3" t="s">
        <v>298</v>
      </c>
      <c r="G491" s="36">
        <v>0</v>
      </c>
    </row>
    <row r="492" spans="1:7" x14ac:dyDescent="0.25">
      <c r="A492" s="34">
        <v>45415</v>
      </c>
      <c r="B492" s="3">
        <v>2024</v>
      </c>
      <c r="C492" s="3" t="s">
        <v>303</v>
      </c>
      <c r="D492" s="3">
        <v>5</v>
      </c>
      <c r="E492" s="3" t="s">
        <v>305</v>
      </c>
      <c r="F492" s="3" t="s">
        <v>299</v>
      </c>
      <c r="G492" s="36">
        <v>0</v>
      </c>
    </row>
    <row r="493" spans="1:7" x14ac:dyDescent="0.25">
      <c r="A493" s="34">
        <v>45416</v>
      </c>
      <c r="B493" s="3">
        <v>2024</v>
      </c>
      <c r="C493" s="3" t="s">
        <v>303</v>
      </c>
      <c r="D493" s="3">
        <v>5</v>
      </c>
      <c r="E493" s="3" t="s">
        <v>305</v>
      </c>
      <c r="F493" s="3" t="s">
        <v>300</v>
      </c>
      <c r="G493" s="35">
        <v>1</v>
      </c>
    </row>
    <row r="494" spans="1:7" x14ac:dyDescent="0.25">
      <c r="A494" s="34">
        <v>45417</v>
      </c>
      <c r="B494" s="3">
        <v>2024</v>
      </c>
      <c r="C494" s="3" t="s">
        <v>303</v>
      </c>
      <c r="D494" s="3">
        <v>5</v>
      </c>
      <c r="E494" s="3" t="s">
        <v>305</v>
      </c>
      <c r="F494" s="3" t="s">
        <v>294</v>
      </c>
      <c r="G494" s="35">
        <v>1</v>
      </c>
    </row>
    <row r="495" spans="1:7" x14ac:dyDescent="0.25">
      <c r="A495" s="34">
        <v>45418</v>
      </c>
      <c r="B495" s="3">
        <v>2024</v>
      </c>
      <c r="C495" s="3" t="s">
        <v>303</v>
      </c>
      <c r="D495" s="3">
        <v>5</v>
      </c>
      <c r="E495" s="3" t="s">
        <v>305</v>
      </c>
      <c r="F495" s="3" t="s">
        <v>295</v>
      </c>
      <c r="G495" s="36">
        <v>0</v>
      </c>
    </row>
    <row r="496" spans="1:7" x14ac:dyDescent="0.25">
      <c r="A496" s="34">
        <v>45419</v>
      </c>
      <c r="B496" s="3">
        <v>2024</v>
      </c>
      <c r="C496" s="3" t="s">
        <v>303</v>
      </c>
      <c r="D496" s="3">
        <v>5</v>
      </c>
      <c r="E496" s="3" t="s">
        <v>305</v>
      </c>
      <c r="F496" s="3" t="s">
        <v>296</v>
      </c>
      <c r="G496" s="36">
        <v>0</v>
      </c>
    </row>
    <row r="497" spans="1:7" x14ac:dyDescent="0.25">
      <c r="A497" s="34">
        <v>45420</v>
      </c>
      <c r="B497" s="3">
        <v>2024</v>
      </c>
      <c r="C497" s="3" t="s">
        <v>303</v>
      </c>
      <c r="D497" s="3">
        <v>5</v>
      </c>
      <c r="E497" s="3" t="s">
        <v>305</v>
      </c>
      <c r="F497" s="3" t="s">
        <v>297</v>
      </c>
      <c r="G497" s="36">
        <v>0</v>
      </c>
    </row>
    <row r="498" spans="1:7" x14ac:dyDescent="0.25">
      <c r="A498" s="34">
        <v>45421</v>
      </c>
      <c r="B498" s="3">
        <v>2024</v>
      </c>
      <c r="C498" s="3" t="s">
        <v>303</v>
      </c>
      <c r="D498" s="3">
        <v>5</v>
      </c>
      <c r="E498" s="3" t="s">
        <v>305</v>
      </c>
      <c r="F498" s="3" t="s">
        <v>298</v>
      </c>
      <c r="G498" s="36">
        <v>0</v>
      </c>
    </row>
    <row r="499" spans="1:7" x14ac:dyDescent="0.25">
      <c r="A499" s="34">
        <v>45422</v>
      </c>
      <c r="B499" s="3">
        <v>2024</v>
      </c>
      <c r="C499" s="3" t="s">
        <v>303</v>
      </c>
      <c r="D499" s="3">
        <v>5</v>
      </c>
      <c r="E499" s="3" t="s">
        <v>305</v>
      </c>
      <c r="F499" s="3" t="s">
        <v>299</v>
      </c>
      <c r="G499" s="36">
        <v>0</v>
      </c>
    </row>
    <row r="500" spans="1:7" x14ac:dyDescent="0.25">
      <c r="A500" s="34">
        <v>45423</v>
      </c>
      <c r="B500" s="3">
        <v>2024</v>
      </c>
      <c r="C500" s="3" t="s">
        <v>303</v>
      </c>
      <c r="D500" s="3">
        <v>5</v>
      </c>
      <c r="E500" s="3" t="s">
        <v>305</v>
      </c>
      <c r="F500" s="3" t="s">
        <v>300</v>
      </c>
      <c r="G500" s="35">
        <v>1</v>
      </c>
    </row>
    <row r="501" spans="1:7" x14ac:dyDescent="0.25">
      <c r="A501" s="34">
        <v>45424</v>
      </c>
      <c r="B501" s="3">
        <v>2024</v>
      </c>
      <c r="C501" s="3" t="s">
        <v>303</v>
      </c>
      <c r="D501" s="3">
        <v>5</v>
      </c>
      <c r="E501" s="3" t="s">
        <v>305</v>
      </c>
      <c r="F501" s="3" t="s">
        <v>294</v>
      </c>
      <c r="G501" s="35">
        <v>1</v>
      </c>
    </row>
    <row r="502" spans="1:7" x14ac:dyDescent="0.25">
      <c r="A502" s="34">
        <v>45425</v>
      </c>
      <c r="B502" s="3">
        <v>2024</v>
      </c>
      <c r="C502" s="3" t="s">
        <v>303</v>
      </c>
      <c r="D502" s="3">
        <v>5</v>
      </c>
      <c r="E502" s="3" t="s">
        <v>305</v>
      </c>
      <c r="F502" s="3" t="s">
        <v>295</v>
      </c>
      <c r="G502" s="36">
        <v>0</v>
      </c>
    </row>
    <row r="503" spans="1:7" x14ac:dyDescent="0.25">
      <c r="A503" s="34">
        <v>45426</v>
      </c>
      <c r="B503" s="3">
        <v>2024</v>
      </c>
      <c r="C503" s="3" t="s">
        <v>303</v>
      </c>
      <c r="D503" s="3">
        <v>5</v>
      </c>
      <c r="E503" s="3" t="s">
        <v>305</v>
      </c>
      <c r="F503" s="3" t="s">
        <v>296</v>
      </c>
      <c r="G503" s="36">
        <v>0</v>
      </c>
    </row>
    <row r="504" spans="1:7" x14ac:dyDescent="0.25">
      <c r="A504" s="34">
        <v>45427</v>
      </c>
      <c r="B504" s="3">
        <v>2024</v>
      </c>
      <c r="C504" s="3" t="s">
        <v>303</v>
      </c>
      <c r="D504" s="3">
        <v>5</v>
      </c>
      <c r="E504" s="3" t="s">
        <v>305</v>
      </c>
      <c r="F504" s="3" t="s">
        <v>297</v>
      </c>
      <c r="G504" s="36">
        <v>0</v>
      </c>
    </row>
    <row r="505" spans="1:7" x14ac:dyDescent="0.25">
      <c r="A505" s="34">
        <v>45428</v>
      </c>
      <c r="B505" s="3">
        <v>2024</v>
      </c>
      <c r="C505" s="3" t="s">
        <v>303</v>
      </c>
      <c r="D505" s="3">
        <v>5</v>
      </c>
      <c r="E505" s="3" t="s">
        <v>305</v>
      </c>
      <c r="F505" s="3" t="s">
        <v>298</v>
      </c>
      <c r="G505" s="36">
        <v>0</v>
      </c>
    </row>
    <row r="506" spans="1:7" x14ac:dyDescent="0.25">
      <c r="A506" s="34">
        <v>45429</v>
      </c>
      <c r="B506" s="3">
        <v>2024</v>
      </c>
      <c r="C506" s="3" t="s">
        <v>303</v>
      </c>
      <c r="D506" s="3">
        <v>5</v>
      </c>
      <c r="E506" s="3" t="s">
        <v>305</v>
      </c>
      <c r="F506" s="3" t="s">
        <v>299</v>
      </c>
      <c r="G506" s="36">
        <v>0</v>
      </c>
    </row>
    <row r="507" spans="1:7" x14ac:dyDescent="0.25">
      <c r="A507" s="34">
        <v>45430</v>
      </c>
      <c r="B507" s="3">
        <v>2024</v>
      </c>
      <c r="C507" s="3" t="s">
        <v>303</v>
      </c>
      <c r="D507" s="3">
        <v>5</v>
      </c>
      <c r="E507" s="3" t="s">
        <v>305</v>
      </c>
      <c r="F507" s="3" t="s">
        <v>300</v>
      </c>
      <c r="G507" s="35">
        <v>1</v>
      </c>
    </row>
    <row r="508" spans="1:7" x14ac:dyDescent="0.25">
      <c r="A508" s="34">
        <v>45431</v>
      </c>
      <c r="B508" s="3">
        <v>2024</v>
      </c>
      <c r="C508" s="3" t="s">
        <v>303</v>
      </c>
      <c r="D508" s="3">
        <v>5</v>
      </c>
      <c r="E508" s="3" t="s">
        <v>305</v>
      </c>
      <c r="F508" s="3" t="s">
        <v>294</v>
      </c>
      <c r="G508" s="35">
        <v>1</v>
      </c>
    </row>
    <row r="509" spans="1:7" x14ac:dyDescent="0.25">
      <c r="A509" s="34">
        <v>45432</v>
      </c>
      <c r="B509" s="3">
        <v>2024</v>
      </c>
      <c r="C509" s="3" t="s">
        <v>303</v>
      </c>
      <c r="D509" s="3">
        <v>5</v>
      </c>
      <c r="E509" s="3" t="s">
        <v>305</v>
      </c>
      <c r="F509" s="3" t="s">
        <v>295</v>
      </c>
      <c r="G509" s="36">
        <v>0</v>
      </c>
    </row>
    <row r="510" spans="1:7" x14ac:dyDescent="0.25">
      <c r="A510" s="34">
        <v>45433</v>
      </c>
      <c r="B510" s="3">
        <v>2024</v>
      </c>
      <c r="C510" s="3" t="s">
        <v>303</v>
      </c>
      <c r="D510" s="3">
        <v>5</v>
      </c>
      <c r="E510" s="3" t="s">
        <v>305</v>
      </c>
      <c r="F510" s="3" t="s">
        <v>296</v>
      </c>
      <c r="G510" s="36">
        <v>0</v>
      </c>
    </row>
    <row r="511" spans="1:7" x14ac:dyDescent="0.25">
      <c r="A511" s="34">
        <v>45434</v>
      </c>
      <c r="B511" s="3">
        <v>2024</v>
      </c>
      <c r="C511" s="3" t="s">
        <v>303</v>
      </c>
      <c r="D511" s="3">
        <v>5</v>
      </c>
      <c r="E511" s="3" t="s">
        <v>305</v>
      </c>
      <c r="F511" s="3" t="s">
        <v>297</v>
      </c>
      <c r="G511" s="36">
        <v>0</v>
      </c>
    </row>
    <row r="512" spans="1:7" x14ac:dyDescent="0.25">
      <c r="A512" s="34">
        <v>45435</v>
      </c>
      <c r="B512" s="3">
        <v>2024</v>
      </c>
      <c r="C512" s="3" t="s">
        <v>303</v>
      </c>
      <c r="D512" s="3">
        <v>5</v>
      </c>
      <c r="E512" s="3" t="s">
        <v>305</v>
      </c>
      <c r="F512" s="3" t="s">
        <v>298</v>
      </c>
      <c r="G512" s="36">
        <v>0</v>
      </c>
    </row>
    <row r="513" spans="1:7" x14ac:dyDescent="0.25">
      <c r="A513" s="34">
        <v>45436</v>
      </c>
      <c r="B513" s="3">
        <v>2024</v>
      </c>
      <c r="C513" s="3" t="s">
        <v>303</v>
      </c>
      <c r="D513" s="3">
        <v>5</v>
      </c>
      <c r="E513" s="3" t="s">
        <v>305</v>
      </c>
      <c r="F513" s="3" t="s">
        <v>299</v>
      </c>
      <c r="G513" s="36">
        <v>0</v>
      </c>
    </row>
    <row r="514" spans="1:7" x14ac:dyDescent="0.25">
      <c r="A514" s="34">
        <v>45437</v>
      </c>
      <c r="B514" s="3">
        <v>2024</v>
      </c>
      <c r="C514" s="3" t="s">
        <v>303</v>
      </c>
      <c r="D514" s="3">
        <v>5</v>
      </c>
      <c r="E514" s="3" t="s">
        <v>305</v>
      </c>
      <c r="F514" s="3" t="s">
        <v>300</v>
      </c>
      <c r="G514" s="35">
        <v>1</v>
      </c>
    </row>
    <row r="515" spans="1:7" x14ac:dyDescent="0.25">
      <c r="A515" s="34">
        <v>45438</v>
      </c>
      <c r="B515" s="3">
        <v>2024</v>
      </c>
      <c r="C515" s="3" t="s">
        <v>303</v>
      </c>
      <c r="D515" s="3">
        <v>5</v>
      </c>
      <c r="E515" s="3" t="s">
        <v>305</v>
      </c>
      <c r="F515" s="3" t="s">
        <v>294</v>
      </c>
      <c r="G515" s="35">
        <v>1</v>
      </c>
    </row>
    <row r="516" spans="1:7" x14ac:dyDescent="0.25">
      <c r="A516" s="34">
        <v>45439</v>
      </c>
      <c r="B516" s="3">
        <v>2024</v>
      </c>
      <c r="C516" s="3" t="s">
        <v>303</v>
      </c>
      <c r="D516" s="3">
        <v>5</v>
      </c>
      <c r="E516" s="3" t="s">
        <v>305</v>
      </c>
      <c r="F516" s="3" t="s">
        <v>295</v>
      </c>
      <c r="G516" s="36">
        <v>0</v>
      </c>
    </row>
    <row r="517" spans="1:7" x14ac:dyDescent="0.25">
      <c r="A517" s="34">
        <v>45440</v>
      </c>
      <c r="B517" s="3">
        <v>2024</v>
      </c>
      <c r="C517" s="3" t="s">
        <v>303</v>
      </c>
      <c r="D517" s="3">
        <v>5</v>
      </c>
      <c r="E517" s="3" t="s">
        <v>305</v>
      </c>
      <c r="F517" s="3" t="s">
        <v>296</v>
      </c>
      <c r="G517" s="36">
        <v>0</v>
      </c>
    </row>
    <row r="518" spans="1:7" x14ac:dyDescent="0.25">
      <c r="A518" s="34">
        <v>45441</v>
      </c>
      <c r="B518" s="3">
        <v>2024</v>
      </c>
      <c r="C518" s="3" t="s">
        <v>303</v>
      </c>
      <c r="D518" s="3">
        <v>5</v>
      </c>
      <c r="E518" s="3" t="s">
        <v>305</v>
      </c>
      <c r="F518" s="3" t="s">
        <v>297</v>
      </c>
      <c r="G518" s="36">
        <v>0</v>
      </c>
    </row>
    <row r="519" spans="1:7" x14ac:dyDescent="0.25">
      <c r="A519" s="34">
        <v>45442</v>
      </c>
      <c r="B519" s="3">
        <v>2024</v>
      </c>
      <c r="C519" s="3" t="s">
        <v>303</v>
      </c>
      <c r="D519" s="3">
        <v>5</v>
      </c>
      <c r="E519" s="3" t="s">
        <v>305</v>
      </c>
      <c r="F519" s="3" t="s">
        <v>298</v>
      </c>
      <c r="G519" s="36">
        <v>0</v>
      </c>
    </row>
    <row r="520" spans="1:7" x14ac:dyDescent="0.25">
      <c r="A520" s="34">
        <v>45443</v>
      </c>
      <c r="B520" s="3">
        <v>2024</v>
      </c>
      <c r="C520" s="3" t="s">
        <v>303</v>
      </c>
      <c r="D520" s="3">
        <v>5</v>
      </c>
      <c r="E520" s="3" t="s">
        <v>305</v>
      </c>
      <c r="F520" s="3" t="s">
        <v>299</v>
      </c>
      <c r="G520" s="36">
        <v>0</v>
      </c>
    </row>
    <row r="521" spans="1:7" x14ac:dyDescent="0.25">
      <c r="A521" s="34">
        <v>45444</v>
      </c>
      <c r="B521" s="3">
        <v>2024</v>
      </c>
      <c r="C521" s="3" t="s">
        <v>303</v>
      </c>
      <c r="D521" s="3">
        <v>6</v>
      </c>
      <c r="E521" s="3" t="s">
        <v>306</v>
      </c>
      <c r="F521" s="3" t="s">
        <v>300</v>
      </c>
      <c r="G521" s="35">
        <v>1</v>
      </c>
    </row>
    <row r="522" spans="1:7" x14ac:dyDescent="0.25">
      <c r="A522" s="34">
        <v>45445</v>
      </c>
      <c r="B522" s="3">
        <v>2024</v>
      </c>
      <c r="C522" s="3" t="s">
        <v>303</v>
      </c>
      <c r="D522" s="3">
        <v>6</v>
      </c>
      <c r="E522" s="3" t="s">
        <v>306</v>
      </c>
      <c r="F522" s="3" t="s">
        <v>294</v>
      </c>
      <c r="G522" s="35">
        <v>1</v>
      </c>
    </row>
    <row r="523" spans="1:7" x14ac:dyDescent="0.25">
      <c r="A523" s="34">
        <v>45446</v>
      </c>
      <c r="B523" s="3">
        <v>2024</v>
      </c>
      <c r="C523" s="3" t="s">
        <v>303</v>
      </c>
      <c r="D523" s="3">
        <v>6</v>
      </c>
      <c r="E523" s="3" t="s">
        <v>306</v>
      </c>
      <c r="F523" s="3" t="s">
        <v>295</v>
      </c>
      <c r="G523" s="36">
        <v>0</v>
      </c>
    </row>
    <row r="524" spans="1:7" x14ac:dyDescent="0.25">
      <c r="A524" s="34">
        <v>45447</v>
      </c>
      <c r="B524" s="3">
        <v>2024</v>
      </c>
      <c r="C524" s="3" t="s">
        <v>303</v>
      </c>
      <c r="D524" s="3">
        <v>6</v>
      </c>
      <c r="E524" s="3" t="s">
        <v>306</v>
      </c>
      <c r="F524" s="3" t="s">
        <v>296</v>
      </c>
      <c r="G524" s="36">
        <v>0</v>
      </c>
    </row>
    <row r="525" spans="1:7" x14ac:dyDescent="0.25">
      <c r="A525" s="34">
        <v>45448</v>
      </c>
      <c r="B525" s="3">
        <v>2024</v>
      </c>
      <c r="C525" s="3" t="s">
        <v>303</v>
      </c>
      <c r="D525" s="3">
        <v>6</v>
      </c>
      <c r="E525" s="3" t="s">
        <v>306</v>
      </c>
      <c r="F525" s="3" t="s">
        <v>297</v>
      </c>
      <c r="G525" s="36">
        <v>0</v>
      </c>
    </row>
    <row r="526" spans="1:7" x14ac:dyDescent="0.25">
      <c r="A526" s="34">
        <v>45449</v>
      </c>
      <c r="B526" s="3">
        <v>2024</v>
      </c>
      <c r="C526" s="3" t="s">
        <v>303</v>
      </c>
      <c r="D526" s="3">
        <v>6</v>
      </c>
      <c r="E526" s="3" t="s">
        <v>306</v>
      </c>
      <c r="F526" s="3" t="s">
        <v>298</v>
      </c>
      <c r="G526" s="36">
        <v>0</v>
      </c>
    </row>
    <row r="527" spans="1:7" x14ac:dyDescent="0.25">
      <c r="A527" s="34">
        <v>45450</v>
      </c>
      <c r="B527" s="3">
        <v>2024</v>
      </c>
      <c r="C527" s="3" t="s">
        <v>303</v>
      </c>
      <c r="D527" s="3">
        <v>6</v>
      </c>
      <c r="E527" s="3" t="s">
        <v>306</v>
      </c>
      <c r="F527" s="3" t="s">
        <v>299</v>
      </c>
      <c r="G527" s="36">
        <v>0</v>
      </c>
    </row>
    <row r="528" spans="1:7" x14ac:dyDescent="0.25">
      <c r="A528" s="34">
        <v>45451</v>
      </c>
      <c r="B528" s="3">
        <v>2024</v>
      </c>
      <c r="C528" s="3" t="s">
        <v>303</v>
      </c>
      <c r="D528" s="3">
        <v>6</v>
      </c>
      <c r="E528" s="3" t="s">
        <v>306</v>
      </c>
      <c r="F528" s="3" t="s">
        <v>300</v>
      </c>
      <c r="G528" s="35">
        <v>1</v>
      </c>
    </row>
    <row r="529" spans="1:7" x14ac:dyDescent="0.25">
      <c r="A529" s="34">
        <v>45452</v>
      </c>
      <c r="B529" s="3">
        <v>2024</v>
      </c>
      <c r="C529" s="3" t="s">
        <v>303</v>
      </c>
      <c r="D529" s="3">
        <v>6</v>
      </c>
      <c r="E529" s="3" t="s">
        <v>306</v>
      </c>
      <c r="F529" s="3" t="s">
        <v>294</v>
      </c>
      <c r="G529" s="35">
        <v>1</v>
      </c>
    </row>
    <row r="530" spans="1:7" x14ac:dyDescent="0.25">
      <c r="A530" s="34">
        <v>45453</v>
      </c>
      <c r="B530" s="3">
        <v>2024</v>
      </c>
      <c r="C530" s="3" t="s">
        <v>303</v>
      </c>
      <c r="D530" s="3">
        <v>6</v>
      </c>
      <c r="E530" s="3" t="s">
        <v>306</v>
      </c>
      <c r="F530" s="3" t="s">
        <v>295</v>
      </c>
      <c r="G530" s="36">
        <v>0</v>
      </c>
    </row>
    <row r="531" spans="1:7" x14ac:dyDescent="0.25">
      <c r="A531" s="34">
        <v>45454</v>
      </c>
      <c r="B531" s="3">
        <v>2024</v>
      </c>
      <c r="C531" s="3" t="s">
        <v>303</v>
      </c>
      <c r="D531" s="3">
        <v>6</v>
      </c>
      <c r="E531" s="3" t="s">
        <v>306</v>
      </c>
      <c r="F531" s="3" t="s">
        <v>296</v>
      </c>
      <c r="G531" s="36">
        <v>0</v>
      </c>
    </row>
    <row r="532" spans="1:7" x14ac:dyDescent="0.25">
      <c r="A532" s="34">
        <v>45455</v>
      </c>
      <c r="B532" s="3">
        <v>2024</v>
      </c>
      <c r="C532" s="3" t="s">
        <v>303</v>
      </c>
      <c r="D532" s="3">
        <v>6</v>
      </c>
      <c r="E532" s="3" t="s">
        <v>306</v>
      </c>
      <c r="F532" s="3" t="s">
        <v>297</v>
      </c>
      <c r="G532" s="36">
        <v>0</v>
      </c>
    </row>
    <row r="533" spans="1:7" x14ac:dyDescent="0.25">
      <c r="A533" s="34">
        <v>45456</v>
      </c>
      <c r="B533" s="3">
        <v>2024</v>
      </c>
      <c r="C533" s="3" t="s">
        <v>303</v>
      </c>
      <c r="D533" s="3">
        <v>6</v>
      </c>
      <c r="E533" s="3" t="s">
        <v>306</v>
      </c>
      <c r="F533" s="3" t="s">
        <v>298</v>
      </c>
      <c r="G533" s="36">
        <v>0</v>
      </c>
    </row>
    <row r="534" spans="1:7" x14ac:dyDescent="0.25">
      <c r="A534" s="34">
        <v>45457</v>
      </c>
      <c r="B534" s="3">
        <v>2024</v>
      </c>
      <c r="C534" s="3" t="s">
        <v>303</v>
      </c>
      <c r="D534" s="3">
        <v>6</v>
      </c>
      <c r="E534" s="3" t="s">
        <v>306</v>
      </c>
      <c r="F534" s="3" t="s">
        <v>299</v>
      </c>
      <c r="G534" s="36">
        <v>0</v>
      </c>
    </row>
    <row r="535" spans="1:7" x14ac:dyDescent="0.25">
      <c r="A535" s="34">
        <v>45458</v>
      </c>
      <c r="B535" s="3">
        <v>2024</v>
      </c>
      <c r="C535" s="3" t="s">
        <v>303</v>
      </c>
      <c r="D535" s="3">
        <v>6</v>
      </c>
      <c r="E535" s="3" t="s">
        <v>306</v>
      </c>
      <c r="F535" s="3" t="s">
        <v>300</v>
      </c>
      <c r="G535" s="35">
        <v>1</v>
      </c>
    </row>
    <row r="536" spans="1:7" x14ac:dyDescent="0.25">
      <c r="A536" s="34">
        <v>45459</v>
      </c>
      <c r="B536" s="3">
        <v>2024</v>
      </c>
      <c r="C536" s="3" t="s">
        <v>303</v>
      </c>
      <c r="D536" s="3">
        <v>6</v>
      </c>
      <c r="E536" s="3" t="s">
        <v>306</v>
      </c>
      <c r="F536" s="3" t="s">
        <v>294</v>
      </c>
      <c r="G536" s="35">
        <v>1</v>
      </c>
    </row>
    <row r="537" spans="1:7" x14ac:dyDescent="0.25">
      <c r="A537" s="34">
        <v>45460</v>
      </c>
      <c r="B537" s="3">
        <v>2024</v>
      </c>
      <c r="C537" s="3" t="s">
        <v>303</v>
      </c>
      <c r="D537" s="3">
        <v>6</v>
      </c>
      <c r="E537" s="3" t="s">
        <v>306</v>
      </c>
      <c r="F537" s="3" t="s">
        <v>295</v>
      </c>
      <c r="G537" s="36">
        <v>0</v>
      </c>
    </row>
    <row r="538" spans="1:7" x14ac:dyDescent="0.25">
      <c r="A538" s="34">
        <v>45461</v>
      </c>
      <c r="B538" s="3">
        <v>2024</v>
      </c>
      <c r="C538" s="3" t="s">
        <v>303</v>
      </c>
      <c r="D538" s="3">
        <v>6</v>
      </c>
      <c r="E538" s="3" t="s">
        <v>306</v>
      </c>
      <c r="F538" s="3" t="s">
        <v>296</v>
      </c>
      <c r="G538" s="36">
        <v>0</v>
      </c>
    </row>
    <row r="539" spans="1:7" x14ac:dyDescent="0.25">
      <c r="A539" s="34">
        <v>45462</v>
      </c>
      <c r="B539" s="3">
        <v>2024</v>
      </c>
      <c r="C539" s="3" t="s">
        <v>303</v>
      </c>
      <c r="D539" s="3">
        <v>6</v>
      </c>
      <c r="E539" s="3" t="s">
        <v>306</v>
      </c>
      <c r="F539" s="3" t="s">
        <v>297</v>
      </c>
      <c r="G539" s="36">
        <v>0</v>
      </c>
    </row>
    <row r="540" spans="1:7" x14ac:dyDescent="0.25">
      <c r="A540" s="34">
        <v>45463</v>
      </c>
      <c r="B540" s="3">
        <v>2024</v>
      </c>
      <c r="C540" s="3" t="s">
        <v>303</v>
      </c>
      <c r="D540" s="3">
        <v>6</v>
      </c>
      <c r="E540" s="3" t="s">
        <v>306</v>
      </c>
      <c r="F540" s="3" t="s">
        <v>298</v>
      </c>
      <c r="G540" s="36">
        <v>0</v>
      </c>
    </row>
    <row r="541" spans="1:7" x14ac:dyDescent="0.25">
      <c r="A541" s="34">
        <v>45464</v>
      </c>
      <c r="B541" s="3">
        <v>2024</v>
      </c>
      <c r="C541" s="3" t="s">
        <v>303</v>
      </c>
      <c r="D541" s="3">
        <v>6</v>
      </c>
      <c r="E541" s="3" t="s">
        <v>306</v>
      </c>
      <c r="F541" s="3" t="s">
        <v>299</v>
      </c>
      <c r="G541" s="36">
        <v>0</v>
      </c>
    </row>
    <row r="542" spans="1:7" x14ac:dyDescent="0.25">
      <c r="A542" s="34">
        <v>45465</v>
      </c>
      <c r="B542" s="3">
        <v>2024</v>
      </c>
      <c r="C542" s="3" t="s">
        <v>303</v>
      </c>
      <c r="D542" s="3">
        <v>6</v>
      </c>
      <c r="E542" s="3" t="s">
        <v>306</v>
      </c>
      <c r="F542" s="3" t="s">
        <v>300</v>
      </c>
      <c r="G542" s="35">
        <v>1</v>
      </c>
    </row>
    <row r="543" spans="1:7" x14ac:dyDescent="0.25">
      <c r="A543" s="34">
        <v>45466</v>
      </c>
      <c r="B543" s="3">
        <v>2024</v>
      </c>
      <c r="C543" s="3" t="s">
        <v>303</v>
      </c>
      <c r="D543" s="3">
        <v>6</v>
      </c>
      <c r="E543" s="3" t="s">
        <v>306</v>
      </c>
      <c r="F543" s="3" t="s">
        <v>294</v>
      </c>
      <c r="G543" s="35">
        <v>1</v>
      </c>
    </row>
    <row r="544" spans="1:7" x14ac:dyDescent="0.25">
      <c r="A544" s="34">
        <v>45467</v>
      </c>
      <c r="B544" s="3">
        <v>2024</v>
      </c>
      <c r="C544" s="3" t="s">
        <v>303</v>
      </c>
      <c r="D544" s="3">
        <v>6</v>
      </c>
      <c r="E544" s="3" t="s">
        <v>306</v>
      </c>
      <c r="F544" s="3" t="s">
        <v>295</v>
      </c>
      <c r="G544" s="36">
        <v>0</v>
      </c>
    </row>
    <row r="545" spans="1:7" x14ac:dyDescent="0.25">
      <c r="A545" s="34">
        <v>45468</v>
      </c>
      <c r="B545" s="3">
        <v>2024</v>
      </c>
      <c r="C545" s="3" t="s">
        <v>303</v>
      </c>
      <c r="D545" s="3">
        <v>6</v>
      </c>
      <c r="E545" s="3" t="s">
        <v>306</v>
      </c>
      <c r="F545" s="3" t="s">
        <v>296</v>
      </c>
      <c r="G545" s="36">
        <v>0</v>
      </c>
    </row>
    <row r="546" spans="1:7" x14ac:dyDescent="0.25">
      <c r="A546" s="34">
        <v>45469</v>
      </c>
      <c r="B546" s="3">
        <v>2024</v>
      </c>
      <c r="C546" s="3" t="s">
        <v>303</v>
      </c>
      <c r="D546" s="3">
        <v>6</v>
      </c>
      <c r="E546" s="3" t="s">
        <v>306</v>
      </c>
      <c r="F546" s="3" t="s">
        <v>297</v>
      </c>
      <c r="G546" s="36">
        <v>0</v>
      </c>
    </row>
    <row r="547" spans="1:7" x14ac:dyDescent="0.25">
      <c r="A547" s="34">
        <v>45470</v>
      </c>
      <c r="B547" s="3">
        <v>2024</v>
      </c>
      <c r="C547" s="3" t="s">
        <v>303</v>
      </c>
      <c r="D547" s="3">
        <v>6</v>
      </c>
      <c r="E547" s="3" t="s">
        <v>306</v>
      </c>
      <c r="F547" s="3" t="s">
        <v>298</v>
      </c>
      <c r="G547" s="36">
        <v>0</v>
      </c>
    </row>
    <row r="548" spans="1:7" x14ac:dyDescent="0.25">
      <c r="A548" s="34">
        <v>45471</v>
      </c>
      <c r="B548" s="3">
        <v>2024</v>
      </c>
      <c r="C548" s="3" t="s">
        <v>303</v>
      </c>
      <c r="D548" s="3">
        <v>6</v>
      </c>
      <c r="E548" s="3" t="s">
        <v>306</v>
      </c>
      <c r="F548" s="3" t="s">
        <v>299</v>
      </c>
      <c r="G548" s="36">
        <v>0</v>
      </c>
    </row>
    <row r="549" spans="1:7" x14ac:dyDescent="0.25">
      <c r="A549" s="34">
        <v>45472</v>
      </c>
      <c r="B549" s="3">
        <v>2024</v>
      </c>
      <c r="C549" s="3" t="s">
        <v>303</v>
      </c>
      <c r="D549" s="3">
        <v>6</v>
      </c>
      <c r="E549" s="3" t="s">
        <v>306</v>
      </c>
      <c r="F549" s="3" t="s">
        <v>300</v>
      </c>
      <c r="G549" s="35">
        <v>1</v>
      </c>
    </row>
    <row r="550" spans="1:7" x14ac:dyDescent="0.25">
      <c r="A550" s="34">
        <v>45473</v>
      </c>
      <c r="B550" s="3">
        <v>2024</v>
      </c>
      <c r="C550" s="3" t="s">
        <v>303</v>
      </c>
      <c r="D550" s="3">
        <v>6</v>
      </c>
      <c r="E550" s="3" t="s">
        <v>306</v>
      </c>
      <c r="F550" s="3" t="s">
        <v>294</v>
      </c>
      <c r="G550" s="35">
        <v>1</v>
      </c>
    </row>
    <row r="551" spans="1:7" x14ac:dyDescent="0.25">
      <c r="A551" s="34">
        <v>45474</v>
      </c>
      <c r="B551" s="3">
        <v>2024</v>
      </c>
      <c r="C551" s="3" t="s">
        <v>307</v>
      </c>
      <c r="D551" s="3">
        <v>7</v>
      </c>
      <c r="E551" s="3" t="s">
        <v>308</v>
      </c>
      <c r="F551" s="3" t="s">
        <v>295</v>
      </c>
      <c r="G551" s="36">
        <v>0</v>
      </c>
    </row>
    <row r="552" spans="1:7" x14ac:dyDescent="0.25">
      <c r="A552" s="34">
        <v>45475</v>
      </c>
      <c r="B552" s="3">
        <v>2024</v>
      </c>
      <c r="C552" s="3" t="s">
        <v>307</v>
      </c>
      <c r="D552" s="3">
        <v>7</v>
      </c>
      <c r="E552" s="3" t="s">
        <v>308</v>
      </c>
      <c r="F552" s="3" t="s">
        <v>296</v>
      </c>
      <c r="G552" s="36">
        <v>0</v>
      </c>
    </row>
    <row r="553" spans="1:7" x14ac:dyDescent="0.25">
      <c r="A553" s="34">
        <v>45476</v>
      </c>
      <c r="B553" s="3">
        <v>2024</v>
      </c>
      <c r="C553" s="3" t="s">
        <v>307</v>
      </c>
      <c r="D553" s="3">
        <v>7</v>
      </c>
      <c r="E553" s="3" t="s">
        <v>308</v>
      </c>
      <c r="F553" s="3" t="s">
        <v>297</v>
      </c>
      <c r="G553" s="36">
        <v>0</v>
      </c>
    </row>
    <row r="554" spans="1:7" x14ac:dyDescent="0.25">
      <c r="A554" s="34">
        <v>45477</v>
      </c>
      <c r="B554" s="3">
        <v>2024</v>
      </c>
      <c r="C554" s="3" t="s">
        <v>307</v>
      </c>
      <c r="D554" s="3">
        <v>7</v>
      </c>
      <c r="E554" s="3" t="s">
        <v>308</v>
      </c>
      <c r="F554" s="3" t="s">
        <v>298</v>
      </c>
      <c r="G554" s="36">
        <v>0</v>
      </c>
    </row>
    <row r="555" spans="1:7" x14ac:dyDescent="0.25">
      <c r="A555" s="34">
        <v>45478</v>
      </c>
      <c r="B555" s="3">
        <v>2024</v>
      </c>
      <c r="C555" s="3" t="s">
        <v>307</v>
      </c>
      <c r="D555" s="3">
        <v>7</v>
      </c>
      <c r="E555" s="3" t="s">
        <v>308</v>
      </c>
      <c r="F555" s="3" t="s">
        <v>299</v>
      </c>
      <c r="G555" s="36">
        <v>0</v>
      </c>
    </row>
    <row r="556" spans="1:7" x14ac:dyDescent="0.25">
      <c r="A556" s="34">
        <v>45479</v>
      </c>
      <c r="B556" s="3">
        <v>2024</v>
      </c>
      <c r="C556" s="3" t="s">
        <v>307</v>
      </c>
      <c r="D556" s="3">
        <v>7</v>
      </c>
      <c r="E556" s="3" t="s">
        <v>308</v>
      </c>
      <c r="F556" s="3" t="s">
        <v>300</v>
      </c>
      <c r="G556" s="35">
        <v>1</v>
      </c>
    </row>
    <row r="557" spans="1:7" x14ac:dyDescent="0.25">
      <c r="A557" s="34">
        <v>45480</v>
      </c>
      <c r="B557" s="3">
        <v>2024</v>
      </c>
      <c r="C557" s="3" t="s">
        <v>307</v>
      </c>
      <c r="D557" s="3">
        <v>7</v>
      </c>
      <c r="E557" s="3" t="s">
        <v>308</v>
      </c>
      <c r="F557" s="3" t="s">
        <v>294</v>
      </c>
      <c r="G557" s="35">
        <v>1</v>
      </c>
    </row>
    <row r="558" spans="1:7" x14ac:dyDescent="0.25">
      <c r="A558" s="34">
        <v>45481</v>
      </c>
      <c r="B558" s="3">
        <v>2024</v>
      </c>
      <c r="C558" s="3" t="s">
        <v>307</v>
      </c>
      <c r="D558" s="3">
        <v>7</v>
      </c>
      <c r="E558" s="3" t="s">
        <v>308</v>
      </c>
      <c r="F558" s="3" t="s">
        <v>295</v>
      </c>
      <c r="G558" s="36">
        <v>0</v>
      </c>
    </row>
    <row r="559" spans="1:7" x14ac:dyDescent="0.25">
      <c r="A559" s="34">
        <v>45482</v>
      </c>
      <c r="B559" s="3">
        <v>2024</v>
      </c>
      <c r="C559" s="3" t="s">
        <v>307</v>
      </c>
      <c r="D559" s="3">
        <v>7</v>
      </c>
      <c r="E559" s="3" t="s">
        <v>308</v>
      </c>
      <c r="F559" s="3" t="s">
        <v>296</v>
      </c>
      <c r="G559" s="36">
        <v>0</v>
      </c>
    </row>
    <row r="560" spans="1:7" x14ac:dyDescent="0.25">
      <c r="A560" s="34">
        <v>45483</v>
      </c>
      <c r="B560" s="3">
        <v>2024</v>
      </c>
      <c r="C560" s="3" t="s">
        <v>307</v>
      </c>
      <c r="D560" s="3">
        <v>7</v>
      </c>
      <c r="E560" s="3" t="s">
        <v>308</v>
      </c>
      <c r="F560" s="3" t="s">
        <v>297</v>
      </c>
      <c r="G560" s="36">
        <v>0</v>
      </c>
    </row>
    <row r="561" spans="1:7" x14ac:dyDescent="0.25">
      <c r="A561" s="34">
        <v>45484</v>
      </c>
      <c r="B561" s="3">
        <v>2024</v>
      </c>
      <c r="C561" s="3" t="s">
        <v>307</v>
      </c>
      <c r="D561" s="3">
        <v>7</v>
      </c>
      <c r="E561" s="3" t="s">
        <v>308</v>
      </c>
      <c r="F561" s="3" t="s">
        <v>298</v>
      </c>
      <c r="G561" s="36">
        <v>0</v>
      </c>
    </row>
    <row r="562" spans="1:7" x14ac:dyDescent="0.25">
      <c r="A562" s="34">
        <v>45485</v>
      </c>
      <c r="B562" s="3">
        <v>2024</v>
      </c>
      <c r="C562" s="3" t="s">
        <v>307</v>
      </c>
      <c r="D562" s="3">
        <v>7</v>
      </c>
      <c r="E562" s="3" t="s">
        <v>308</v>
      </c>
      <c r="F562" s="3" t="s">
        <v>299</v>
      </c>
      <c r="G562" s="36">
        <v>0</v>
      </c>
    </row>
    <row r="563" spans="1:7" x14ac:dyDescent="0.25">
      <c r="A563" s="34">
        <v>45486</v>
      </c>
      <c r="B563" s="3">
        <v>2024</v>
      </c>
      <c r="C563" s="3" t="s">
        <v>307</v>
      </c>
      <c r="D563" s="3">
        <v>7</v>
      </c>
      <c r="E563" s="3" t="s">
        <v>308</v>
      </c>
      <c r="F563" s="3" t="s">
        <v>300</v>
      </c>
      <c r="G563" s="35">
        <v>1</v>
      </c>
    </row>
    <row r="564" spans="1:7" x14ac:dyDescent="0.25">
      <c r="A564" s="34">
        <v>45487</v>
      </c>
      <c r="B564" s="3">
        <v>2024</v>
      </c>
      <c r="C564" s="3" t="s">
        <v>307</v>
      </c>
      <c r="D564" s="3">
        <v>7</v>
      </c>
      <c r="E564" s="3" t="s">
        <v>308</v>
      </c>
      <c r="F564" s="3" t="s">
        <v>294</v>
      </c>
      <c r="G564" s="35">
        <v>1</v>
      </c>
    </row>
    <row r="565" spans="1:7" x14ac:dyDescent="0.25">
      <c r="A565" s="34">
        <v>45488</v>
      </c>
      <c r="B565" s="3">
        <v>2024</v>
      </c>
      <c r="C565" s="3" t="s">
        <v>307</v>
      </c>
      <c r="D565" s="3">
        <v>7</v>
      </c>
      <c r="E565" s="3" t="s">
        <v>308</v>
      </c>
      <c r="F565" s="3" t="s">
        <v>295</v>
      </c>
      <c r="G565" s="36">
        <v>0</v>
      </c>
    </row>
    <row r="566" spans="1:7" x14ac:dyDescent="0.25">
      <c r="A566" s="34">
        <v>45489</v>
      </c>
      <c r="B566" s="3">
        <v>2024</v>
      </c>
      <c r="C566" s="3" t="s">
        <v>307</v>
      </c>
      <c r="D566" s="3">
        <v>7</v>
      </c>
      <c r="E566" s="3" t="s">
        <v>308</v>
      </c>
      <c r="F566" s="3" t="s">
        <v>296</v>
      </c>
      <c r="G566" s="36">
        <v>0</v>
      </c>
    </row>
    <row r="567" spans="1:7" x14ac:dyDescent="0.25">
      <c r="A567" s="34">
        <v>45490</v>
      </c>
      <c r="B567" s="3">
        <v>2024</v>
      </c>
      <c r="C567" s="3" t="s">
        <v>307</v>
      </c>
      <c r="D567" s="3">
        <v>7</v>
      </c>
      <c r="E567" s="3" t="s">
        <v>308</v>
      </c>
      <c r="F567" s="3" t="s">
        <v>297</v>
      </c>
      <c r="G567" s="36">
        <v>0</v>
      </c>
    </row>
    <row r="568" spans="1:7" x14ac:dyDescent="0.25">
      <c r="A568" s="34">
        <v>45491</v>
      </c>
      <c r="B568" s="3">
        <v>2024</v>
      </c>
      <c r="C568" s="3" t="s">
        <v>307</v>
      </c>
      <c r="D568" s="3">
        <v>7</v>
      </c>
      <c r="E568" s="3" t="s">
        <v>308</v>
      </c>
      <c r="F568" s="3" t="s">
        <v>298</v>
      </c>
      <c r="G568" s="36">
        <v>0</v>
      </c>
    </row>
    <row r="569" spans="1:7" x14ac:dyDescent="0.25">
      <c r="A569" s="34">
        <v>45492</v>
      </c>
      <c r="B569" s="3">
        <v>2024</v>
      </c>
      <c r="C569" s="3" t="s">
        <v>307</v>
      </c>
      <c r="D569" s="3">
        <v>7</v>
      </c>
      <c r="E569" s="3" t="s">
        <v>308</v>
      </c>
      <c r="F569" s="3" t="s">
        <v>299</v>
      </c>
      <c r="G569" s="36">
        <v>0</v>
      </c>
    </row>
    <row r="570" spans="1:7" x14ac:dyDescent="0.25">
      <c r="A570" s="34">
        <v>45493</v>
      </c>
      <c r="B570" s="3">
        <v>2024</v>
      </c>
      <c r="C570" s="3" t="s">
        <v>307</v>
      </c>
      <c r="D570" s="3">
        <v>7</v>
      </c>
      <c r="E570" s="3" t="s">
        <v>308</v>
      </c>
      <c r="F570" s="3" t="s">
        <v>300</v>
      </c>
      <c r="G570" s="35">
        <v>1</v>
      </c>
    </row>
    <row r="571" spans="1:7" x14ac:dyDescent="0.25">
      <c r="A571" s="34">
        <v>45494</v>
      </c>
      <c r="B571" s="3">
        <v>2024</v>
      </c>
      <c r="C571" s="3" t="s">
        <v>307</v>
      </c>
      <c r="D571" s="3">
        <v>7</v>
      </c>
      <c r="E571" s="3" t="s">
        <v>308</v>
      </c>
      <c r="F571" s="3" t="s">
        <v>294</v>
      </c>
      <c r="G571" s="35">
        <v>1</v>
      </c>
    </row>
    <row r="572" spans="1:7" x14ac:dyDescent="0.25">
      <c r="A572" s="34">
        <v>45495</v>
      </c>
      <c r="B572" s="3">
        <v>2024</v>
      </c>
      <c r="C572" s="3" t="s">
        <v>307</v>
      </c>
      <c r="D572" s="3">
        <v>7</v>
      </c>
      <c r="E572" s="3" t="s">
        <v>308</v>
      </c>
      <c r="F572" s="3" t="s">
        <v>295</v>
      </c>
      <c r="G572" s="36">
        <v>0</v>
      </c>
    </row>
    <row r="573" spans="1:7" x14ac:dyDescent="0.25">
      <c r="A573" s="34">
        <v>45496</v>
      </c>
      <c r="B573" s="3">
        <v>2024</v>
      </c>
      <c r="C573" s="3" t="s">
        <v>307</v>
      </c>
      <c r="D573" s="3">
        <v>7</v>
      </c>
      <c r="E573" s="3" t="s">
        <v>308</v>
      </c>
      <c r="F573" s="3" t="s">
        <v>296</v>
      </c>
      <c r="G573" s="36">
        <v>0</v>
      </c>
    </row>
    <row r="574" spans="1:7" x14ac:dyDescent="0.25">
      <c r="A574" s="34">
        <v>45497</v>
      </c>
      <c r="B574" s="3">
        <v>2024</v>
      </c>
      <c r="C574" s="3" t="s">
        <v>307</v>
      </c>
      <c r="D574" s="3">
        <v>7</v>
      </c>
      <c r="E574" s="3" t="s">
        <v>308</v>
      </c>
      <c r="F574" s="3" t="s">
        <v>297</v>
      </c>
      <c r="G574" s="36">
        <v>0</v>
      </c>
    </row>
    <row r="575" spans="1:7" x14ac:dyDescent="0.25">
      <c r="A575" s="34">
        <v>45498</v>
      </c>
      <c r="B575" s="3">
        <v>2024</v>
      </c>
      <c r="C575" s="3" t="s">
        <v>307</v>
      </c>
      <c r="D575" s="3">
        <v>7</v>
      </c>
      <c r="E575" s="3" t="s">
        <v>308</v>
      </c>
      <c r="F575" s="3" t="s">
        <v>298</v>
      </c>
      <c r="G575" s="36">
        <v>0</v>
      </c>
    </row>
    <row r="576" spans="1:7" x14ac:dyDescent="0.25">
      <c r="A576" s="34">
        <v>45499</v>
      </c>
      <c r="B576" s="3">
        <v>2024</v>
      </c>
      <c r="C576" s="3" t="s">
        <v>307</v>
      </c>
      <c r="D576" s="3">
        <v>7</v>
      </c>
      <c r="E576" s="3" t="s">
        <v>308</v>
      </c>
      <c r="F576" s="3" t="s">
        <v>299</v>
      </c>
      <c r="G576" s="36">
        <v>0</v>
      </c>
    </row>
    <row r="577" spans="1:7" x14ac:dyDescent="0.25">
      <c r="A577" s="34">
        <v>45500</v>
      </c>
      <c r="B577" s="3">
        <v>2024</v>
      </c>
      <c r="C577" s="3" t="s">
        <v>307</v>
      </c>
      <c r="D577" s="3">
        <v>7</v>
      </c>
      <c r="E577" s="3" t="s">
        <v>308</v>
      </c>
      <c r="F577" s="3" t="s">
        <v>300</v>
      </c>
      <c r="G577" s="35">
        <v>1</v>
      </c>
    </row>
    <row r="578" spans="1:7" x14ac:dyDescent="0.25">
      <c r="A578" s="34">
        <v>45501</v>
      </c>
      <c r="B578" s="3">
        <v>2024</v>
      </c>
      <c r="C578" s="3" t="s">
        <v>307</v>
      </c>
      <c r="D578" s="3">
        <v>7</v>
      </c>
      <c r="E578" s="3" t="s">
        <v>308</v>
      </c>
      <c r="F578" s="3" t="s">
        <v>294</v>
      </c>
      <c r="G578" s="35">
        <v>1</v>
      </c>
    </row>
    <row r="579" spans="1:7" x14ac:dyDescent="0.25">
      <c r="A579" s="34">
        <v>45502</v>
      </c>
      <c r="B579" s="3">
        <v>2024</v>
      </c>
      <c r="C579" s="3" t="s">
        <v>307</v>
      </c>
      <c r="D579" s="3">
        <v>7</v>
      </c>
      <c r="E579" s="3" t="s">
        <v>308</v>
      </c>
      <c r="F579" s="3" t="s">
        <v>295</v>
      </c>
      <c r="G579" s="36">
        <v>0</v>
      </c>
    </row>
    <row r="580" spans="1:7" x14ac:dyDescent="0.25">
      <c r="A580" s="34">
        <v>45503</v>
      </c>
      <c r="B580" s="3">
        <v>2024</v>
      </c>
      <c r="C580" s="3" t="s">
        <v>307</v>
      </c>
      <c r="D580" s="3">
        <v>7</v>
      </c>
      <c r="E580" s="3" t="s">
        <v>308</v>
      </c>
      <c r="F580" s="3" t="s">
        <v>296</v>
      </c>
      <c r="G580" s="36">
        <v>0</v>
      </c>
    </row>
    <row r="581" spans="1:7" x14ac:dyDescent="0.25">
      <c r="A581" s="34">
        <v>45504</v>
      </c>
      <c r="B581" s="3">
        <v>2024</v>
      </c>
      <c r="C581" s="3" t="s">
        <v>307</v>
      </c>
      <c r="D581" s="3">
        <v>7</v>
      </c>
      <c r="E581" s="3" t="s">
        <v>308</v>
      </c>
      <c r="F581" s="3" t="s">
        <v>297</v>
      </c>
      <c r="G581" s="36">
        <v>0</v>
      </c>
    </row>
    <row r="582" spans="1:7" x14ac:dyDescent="0.25">
      <c r="A582" s="34">
        <v>45505</v>
      </c>
      <c r="B582" s="3">
        <v>2024</v>
      </c>
      <c r="C582" s="3" t="s">
        <v>307</v>
      </c>
      <c r="D582" s="3">
        <v>8</v>
      </c>
      <c r="E582" s="3" t="s">
        <v>309</v>
      </c>
      <c r="F582" s="3" t="s">
        <v>298</v>
      </c>
      <c r="G582" s="36">
        <v>0</v>
      </c>
    </row>
    <row r="583" spans="1:7" x14ac:dyDescent="0.25">
      <c r="A583" s="34">
        <v>45506</v>
      </c>
      <c r="B583" s="3">
        <v>2024</v>
      </c>
      <c r="C583" s="3" t="s">
        <v>307</v>
      </c>
      <c r="D583" s="3">
        <v>8</v>
      </c>
      <c r="E583" s="3" t="s">
        <v>309</v>
      </c>
      <c r="F583" s="3" t="s">
        <v>299</v>
      </c>
      <c r="G583" s="36">
        <v>0</v>
      </c>
    </row>
    <row r="584" spans="1:7" x14ac:dyDescent="0.25">
      <c r="A584" s="34">
        <v>45507</v>
      </c>
      <c r="B584" s="3">
        <v>2024</v>
      </c>
      <c r="C584" s="3" t="s">
        <v>307</v>
      </c>
      <c r="D584" s="3">
        <v>8</v>
      </c>
      <c r="E584" s="3" t="s">
        <v>309</v>
      </c>
      <c r="F584" s="3" t="s">
        <v>300</v>
      </c>
      <c r="G584" s="35">
        <v>1</v>
      </c>
    </row>
    <row r="585" spans="1:7" x14ac:dyDescent="0.25">
      <c r="A585" s="34">
        <v>45508</v>
      </c>
      <c r="B585" s="3">
        <v>2024</v>
      </c>
      <c r="C585" s="3" t="s">
        <v>307</v>
      </c>
      <c r="D585" s="3">
        <v>8</v>
      </c>
      <c r="E585" s="3" t="s">
        <v>309</v>
      </c>
      <c r="F585" s="3" t="s">
        <v>294</v>
      </c>
      <c r="G585" s="35">
        <v>1</v>
      </c>
    </row>
    <row r="586" spans="1:7" x14ac:dyDescent="0.25">
      <c r="A586" s="34">
        <v>45509</v>
      </c>
      <c r="B586" s="3">
        <v>2024</v>
      </c>
      <c r="C586" s="3" t="s">
        <v>307</v>
      </c>
      <c r="D586" s="3">
        <v>8</v>
      </c>
      <c r="E586" s="3" t="s">
        <v>309</v>
      </c>
      <c r="F586" s="3" t="s">
        <v>295</v>
      </c>
      <c r="G586" s="36">
        <v>0</v>
      </c>
    </row>
    <row r="587" spans="1:7" x14ac:dyDescent="0.25">
      <c r="A587" s="34">
        <v>45510</v>
      </c>
      <c r="B587" s="3">
        <v>2024</v>
      </c>
      <c r="C587" s="3" t="s">
        <v>307</v>
      </c>
      <c r="D587" s="3">
        <v>8</v>
      </c>
      <c r="E587" s="3" t="s">
        <v>309</v>
      </c>
      <c r="F587" s="3" t="s">
        <v>296</v>
      </c>
      <c r="G587" s="36">
        <v>0</v>
      </c>
    </row>
    <row r="588" spans="1:7" x14ac:dyDescent="0.25">
      <c r="A588" s="34">
        <v>45511</v>
      </c>
      <c r="B588" s="3">
        <v>2024</v>
      </c>
      <c r="C588" s="3" t="s">
        <v>307</v>
      </c>
      <c r="D588" s="3">
        <v>8</v>
      </c>
      <c r="E588" s="3" t="s">
        <v>309</v>
      </c>
      <c r="F588" s="3" t="s">
        <v>297</v>
      </c>
      <c r="G588" s="36">
        <v>0</v>
      </c>
    </row>
    <row r="589" spans="1:7" x14ac:dyDescent="0.25">
      <c r="A589" s="34">
        <v>45512</v>
      </c>
      <c r="B589" s="3">
        <v>2024</v>
      </c>
      <c r="C589" s="3" t="s">
        <v>307</v>
      </c>
      <c r="D589" s="3">
        <v>8</v>
      </c>
      <c r="E589" s="3" t="s">
        <v>309</v>
      </c>
      <c r="F589" s="3" t="s">
        <v>298</v>
      </c>
      <c r="G589" s="36">
        <v>0</v>
      </c>
    </row>
    <row r="590" spans="1:7" x14ac:dyDescent="0.25">
      <c r="A590" s="34">
        <v>45513</v>
      </c>
      <c r="B590" s="3">
        <v>2024</v>
      </c>
      <c r="C590" s="3" t="s">
        <v>307</v>
      </c>
      <c r="D590" s="3">
        <v>8</v>
      </c>
      <c r="E590" s="3" t="s">
        <v>309</v>
      </c>
      <c r="F590" s="3" t="s">
        <v>299</v>
      </c>
      <c r="G590" s="36">
        <v>0</v>
      </c>
    </row>
    <row r="591" spans="1:7" x14ac:dyDescent="0.25">
      <c r="A591" s="34">
        <v>45514</v>
      </c>
      <c r="B591" s="3">
        <v>2024</v>
      </c>
      <c r="C591" s="3" t="s">
        <v>307</v>
      </c>
      <c r="D591" s="3">
        <v>8</v>
      </c>
      <c r="E591" s="3" t="s">
        <v>309</v>
      </c>
      <c r="F591" s="3" t="s">
        <v>300</v>
      </c>
      <c r="G591" s="35">
        <v>1</v>
      </c>
    </row>
    <row r="592" spans="1:7" x14ac:dyDescent="0.25">
      <c r="A592" s="34">
        <v>45515</v>
      </c>
      <c r="B592" s="3">
        <v>2024</v>
      </c>
      <c r="C592" s="3" t="s">
        <v>307</v>
      </c>
      <c r="D592" s="3">
        <v>8</v>
      </c>
      <c r="E592" s="3" t="s">
        <v>309</v>
      </c>
      <c r="F592" s="3" t="s">
        <v>294</v>
      </c>
      <c r="G592" s="35">
        <v>1</v>
      </c>
    </row>
    <row r="593" spans="1:7" x14ac:dyDescent="0.25">
      <c r="A593" s="34">
        <v>45516</v>
      </c>
      <c r="B593" s="3">
        <v>2024</v>
      </c>
      <c r="C593" s="3" t="s">
        <v>307</v>
      </c>
      <c r="D593" s="3">
        <v>8</v>
      </c>
      <c r="E593" s="3" t="s">
        <v>309</v>
      </c>
      <c r="F593" s="3" t="s">
        <v>295</v>
      </c>
      <c r="G593" s="36">
        <v>0</v>
      </c>
    </row>
    <row r="594" spans="1:7" x14ac:dyDescent="0.25">
      <c r="A594" s="34">
        <v>45517</v>
      </c>
      <c r="B594" s="3">
        <v>2024</v>
      </c>
      <c r="C594" s="3" t="s">
        <v>307</v>
      </c>
      <c r="D594" s="3">
        <v>8</v>
      </c>
      <c r="E594" s="3" t="s">
        <v>309</v>
      </c>
      <c r="F594" s="3" t="s">
        <v>296</v>
      </c>
      <c r="G594" s="36">
        <v>0</v>
      </c>
    </row>
    <row r="595" spans="1:7" x14ac:dyDescent="0.25">
      <c r="A595" s="34">
        <v>45518</v>
      </c>
      <c r="B595" s="3">
        <v>2024</v>
      </c>
      <c r="C595" s="3" t="s">
        <v>307</v>
      </c>
      <c r="D595" s="3">
        <v>8</v>
      </c>
      <c r="E595" s="3" t="s">
        <v>309</v>
      </c>
      <c r="F595" s="3" t="s">
        <v>297</v>
      </c>
      <c r="G595" s="36">
        <v>0</v>
      </c>
    </row>
    <row r="596" spans="1:7" x14ac:dyDescent="0.25">
      <c r="A596" s="34">
        <v>45519</v>
      </c>
      <c r="B596" s="3">
        <v>2024</v>
      </c>
      <c r="C596" s="3" t="s">
        <v>307</v>
      </c>
      <c r="D596" s="3">
        <v>8</v>
      </c>
      <c r="E596" s="3" t="s">
        <v>309</v>
      </c>
      <c r="F596" s="3" t="s">
        <v>298</v>
      </c>
      <c r="G596" s="36">
        <v>0</v>
      </c>
    </row>
    <row r="597" spans="1:7" x14ac:dyDescent="0.25">
      <c r="A597" s="34">
        <v>45520</v>
      </c>
      <c r="B597" s="3">
        <v>2024</v>
      </c>
      <c r="C597" s="3" t="s">
        <v>307</v>
      </c>
      <c r="D597" s="3">
        <v>8</v>
      </c>
      <c r="E597" s="3" t="s">
        <v>309</v>
      </c>
      <c r="F597" s="3" t="s">
        <v>299</v>
      </c>
      <c r="G597" s="36">
        <v>0</v>
      </c>
    </row>
    <row r="598" spans="1:7" x14ac:dyDescent="0.25">
      <c r="A598" s="34">
        <v>45521</v>
      </c>
      <c r="B598" s="3">
        <v>2024</v>
      </c>
      <c r="C598" s="3" t="s">
        <v>307</v>
      </c>
      <c r="D598" s="3">
        <v>8</v>
      </c>
      <c r="E598" s="3" t="s">
        <v>309</v>
      </c>
      <c r="F598" s="3" t="s">
        <v>300</v>
      </c>
      <c r="G598" s="35">
        <v>1</v>
      </c>
    </row>
    <row r="599" spans="1:7" x14ac:dyDescent="0.25">
      <c r="A599" s="34">
        <v>45522</v>
      </c>
      <c r="B599" s="3">
        <v>2024</v>
      </c>
      <c r="C599" s="3" t="s">
        <v>307</v>
      </c>
      <c r="D599" s="3">
        <v>8</v>
      </c>
      <c r="E599" s="3" t="s">
        <v>309</v>
      </c>
      <c r="F599" s="3" t="s">
        <v>294</v>
      </c>
      <c r="G599" s="35">
        <v>1</v>
      </c>
    </row>
    <row r="600" spans="1:7" x14ac:dyDescent="0.25">
      <c r="A600" s="34">
        <v>45523</v>
      </c>
      <c r="B600" s="3">
        <v>2024</v>
      </c>
      <c r="C600" s="3" t="s">
        <v>307</v>
      </c>
      <c r="D600" s="3">
        <v>8</v>
      </c>
      <c r="E600" s="3" t="s">
        <v>309</v>
      </c>
      <c r="F600" s="3" t="s">
        <v>295</v>
      </c>
      <c r="G600" s="36">
        <v>0</v>
      </c>
    </row>
    <row r="601" spans="1:7" x14ac:dyDescent="0.25">
      <c r="A601" s="34">
        <v>45524</v>
      </c>
      <c r="B601" s="3">
        <v>2024</v>
      </c>
      <c r="C601" s="3" t="s">
        <v>307</v>
      </c>
      <c r="D601" s="3">
        <v>8</v>
      </c>
      <c r="E601" s="3" t="s">
        <v>309</v>
      </c>
      <c r="F601" s="3" t="s">
        <v>296</v>
      </c>
      <c r="G601" s="36">
        <v>0</v>
      </c>
    </row>
    <row r="602" spans="1:7" x14ac:dyDescent="0.25">
      <c r="A602" s="34">
        <v>45525</v>
      </c>
      <c r="B602" s="3">
        <v>2024</v>
      </c>
      <c r="C602" s="3" t="s">
        <v>307</v>
      </c>
      <c r="D602" s="3">
        <v>8</v>
      </c>
      <c r="E602" s="3" t="s">
        <v>309</v>
      </c>
      <c r="F602" s="3" t="s">
        <v>297</v>
      </c>
      <c r="G602" s="36">
        <v>0</v>
      </c>
    </row>
    <row r="603" spans="1:7" x14ac:dyDescent="0.25">
      <c r="A603" s="34">
        <v>45526</v>
      </c>
      <c r="B603" s="3">
        <v>2024</v>
      </c>
      <c r="C603" s="3" t="s">
        <v>307</v>
      </c>
      <c r="D603" s="3">
        <v>8</v>
      </c>
      <c r="E603" s="3" t="s">
        <v>309</v>
      </c>
      <c r="F603" s="3" t="s">
        <v>298</v>
      </c>
      <c r="G603" s="36">
        <v>0</v>
      </c>
    </row>
    <row r="604" spans="1:7" x14ac:dyDescent="0.25">
      <c r="A604" s="34">
        <v>45527</v>
      </c>
      <c r="B604" s="3">
        <v>2024</v>
      </c>
      <c r="C604" s="3" t="s">
        <v>307</v>
      </c>
      <c r="D604" s="3">
        <v>8</v>
      </c>
      <c r="E604" s="3" t="s">
        <v>309</v>
      </c>
      <c r="F604" s="3" t="s">
        <v>299</v>
      </c>
      <c r="G604" s="36">
        <v>0</v>
      </c>
    </row>
    <row r="605" spans="1:7" x14ac:dyDescent="0.25">
      <c r="A605" s="34">
        <v>45528</v>
      </c>
      <c r="B605" s="3">
        <v>2024</v>
      </c>
      <c r="C605" s="3" t="s">
        <v>307</v>
      </c>
      <c r="D605" s="3">
        <v>8</v>
      </c>
      <c r="E605" s="3" t="s">
        <v>309</v>
      </c>
      <c r="F605" s="3" t="s">
        <v>300</v>
      </c>
      <c r="G605" s="35">
        <v>1</v>
      </c>
    </row>
    <row r="606" spans="1:7" x14ac:dyDescent="0.25">
      <c r="A606" s="34">
        <v>45529</v>
      </c>
      <c r="B606" s="3">
        <v>2024</v>
      </c>
      <c r="C606" s="3" t="s">
        <v>307</v>
      </c>
      <c r="D606" s="3">
        <v>8</v>
      </c>
      <c r="E606" s="3" t="s">
        <v>309</v>
      </c>
      <c r="F606" s="3" t="s">
        <v>294</v>
      </c>
      <c r="G606" s="35">
        <v>1</v>
      </c>
    </row>
    <row r="607" spans="1:7" x14ac:dyDescent="0.25">
      <c r="A607" s="34">
        <v>45530</v>
      </c>
      <c r="B607" s="3">
        <v>2024</v>
      </c>
      <c r="C607" s="3" t="s">
        <v>307</v>
      </c>
      <c r="D607" s="3">
        <v>8</v>
      </c>
      <c r="E607" s="3" t="s">
        <v>309</v>
      </c>
      <c r="F607" s="3" t="s">
        <v>295</v>
      </c>
      <c r="G607" s="36">
        <v>0</v>
      </c>
    </row>
    <row r="608" spans="1:7" x14ac:dyDescent="0.25">
      <c r="A608" s="34">
        <v>45531</v>
      </c>
      <c r="B608" s="3">
        <v>2024</v>
      </c>
      <c r="C608" s="3" t="s">
        <v>307</v>
      </c>
      <c r="D608" s="3">
        <v>8</v>
      </c>
      <c r="E608" s="3" t="s">
        <v>309</v>
      </c>
      <c r="F608" s="3" t="s">
        <v>296</v>
      </c>
      <c r="G608" s="36">
        <v>0</v>
      </c>
    </row>
    <row r="609" spans="1:7" x14ac:dyDescent="0.25">
      <c r="A609" s="34">
        <v>45532</v>
      </c>
      <c r="B609" s="3">
        <v>2024</v>
      </c>
      <c r="C609" s="3" t="s">
        <v>307</v>
      </c>
      <c r="D609" s="3">
        <v>8</v>
      </c>
      <c r="E609" s="3" t="s">
        <v>309</v>
      </c>
      <c r="F609" s="3" t="s">
        <v>297</v>
      </c>
      <c r="G609" s="36">
        <v>0</v>
      </c>
    </row>
    <row r="610" spans="1:7" x14ac:dyDescent="0.25">
      <c r="A610" s="34">
        <v>45533</v>
      </c>
      <c r="B610" s="3">
        <v>2024</v>
      </c>
      <c r="C610" s="3" t="s">
        <v>307</v>
      </c>
      <c r="D610" s="3">
        <v>8</v>
      </c>
      <c r="E610" s="3" t="s">
        <v>309</v>
      </c>
      <c r="F610" s="3" t="s">
        <v>298</v>
      </c>
      <c r="G610" s="36">
        <v>0</v>
      </c>
    </row>
    <row r="611" spans="1:7" x14ac:dyDescent="0.25">
      <c r="A611" s="34">
        <v>45534</v>
      </c>
      <c r="B611" s="3">
        <v>2024</v>
      </c>
      <c r="C611" s="3" t="s">
        <v>307</v>
      </c>
      <c r="D611" s="3">
        <v>8</v>
      </c>
      <c r="E611" s="3" t="s">
        <v>309</v>
      </c>
      <c r="F611" s="3" t="s">
        <v>299</v>
      </c>
      <c r="G611" s="36">
        <v>0</v>
      </c>
    </row>
    <row r="612" spans="1:7" x14ac:dyDescent="0.25">
      <c r="A612" s="34">
        <v>45535</v>
      </c>
      <c r="B612" s="3">
        <v>2024</v>
      </c>
      <c r="C612" s="3" t="s">
        <v>307</v>
      </c>
      <c r="D612" s="3">
        <v>8</v>
      </c>
      <c r="E612" s="3" t="s">
        <v>309</v>
      </c>
      <c r="F612" s="3" t="s">
        <v>300</v>
      </c>
      <c r="G612" s="35">
        <v>1</v>
      </c>
    </row>
    <row r="613" spans="1:7" x14ac:dyDescent="0.25">
      <c r="A613" s="34">
        <v>45536</v>
      </c>
      <c r="B613" s="3">
        <v>2024</v>
      </c>
      <c r="C613" s="3" t="s">
        <v>307</v>
      </c>
      <c r="D613" s="3">
        <v>9</v>
      </c>
      <c r="E613" s="3" t="s">
        <v>310</v>
      </c>
      <c r="F613" s="3" t="s">
        <v>294</v>
      </c>
      <c r="G613" s="35">
        <v>1</v>
      </c>
    </row>
    <row r="614" spans="1:7" x14ac:dyDescent="0.25">
      <c r="A614" s="34">
        <v>45537</v>
      </c>
      <c r="B614" s="3">
        <v>2024</v>
      </c>
      <c r="C614" s="3" t="s">
        <v>307</v>
      </c>
      <c r="D614" s="3">
        <v>9</v>
      </c>
      <c r="E614" s="3" t="s">
        <v>310</v>
      </c>
      <c r="F614" s="3" t="s">
        <v>295</v>
      </c>
      <c r="G614" s="36">
        <v>0</v>
      </c>
    </row>
    <row r="615" spans="1:7" x14ac:dyDescent="0.25">
      <c r="A615" s="34">
        <v>45538</v>
      </c>
      <c r="B615" s="3">
        <v>2024</v>
      </c>
      <c r="C615" s="3" t="s">
        <v>307</v>
      </c>
      <c r="D615" s="3">
        <v>9</v>
      </c>
      <c r="E615" s="3" t="s">
        <v>310</v>
      </c>
      <c r="F615" s="3" t="s">
        <v>296</v>
      </c>
      <c r="G615" s="36">
        <v>0</v>
      </c>
    </row>
    <row r="616" spans="1:7" x14ac:dyDescent="0.25">
      <c r="A616" s="34">
        <v>45539</v>
      </c>
      <c r="B616" s="3">
        <v>2024</v>
      </c>
      <c r="C616" s="3" t="s">
        <v>307</v>
      </c>
      <c r="D616" s="3">
        <v>9</v>
      </c>
      <c r="E616" s="3" t="s">
        <v>310</v>
      </c>
      <c r="F616" s="3" t="s">
        <v>297</v>
      </c>
      <c r="G616" s="36">
        <v>0</v>
      </c>
    </row>
    <row r="617" spans="1:7" x14ac:dyDescent="0.25">
      <c r="A617" s="34">
        <v>45540</v>
      </c>
      <c r="B617" s="3">
        <v>2024</v>
      </c>
      <c r="C617" s="3" t="s">
        <v>307</v>
      </c>
      <c r="D617" s="3">
        <v>9</v>
      </c>
      <c r="E617" s="3" t="s">
        <v>310</v>
      </c>
      <c r="F617" s="3" t="s">
        <v>298</v>
      </c>
      <c r="G617" s="36">
        <v>0</v>
      </c>
    </row>
    <row r="618" spans="1:7" x14ac:dyDescent="0.25">
      <c r="A618" s="34">
        <v>45541</v>
      </c>
      <c r="B618" s="3">
        <v>2024</v>
      </c>
      <c r="C618" s="3" t="s">
        <v>307</v>
      </c>
      <c r="D618" s="3">
        <v>9</v>
      </c>
      <c r="E618" s="3" t="s">
        <v>310</v>
      </c>
      <c r="F618" s="3" t="s">
        <v>299</v>
      </c>
      <c r="G618" s="36">
        <v>0</v>
      </c>
    </row>
    <row r="619" spans="1:7" x14ac:dyDescent="0.25">
      <c r="A619" s="34">
        <v>45542</v>
      </c>
      <c r="B619" s="3">
        <v>2024</v>
      </c>
      <c r="C619" s="3" t="s">
        <v>307</v>
      </c>
      <c r="D619" s="3">
        <v>9</v>
      </c>
      <c r="E619" s="3" t="s">
        <v>310</v>
      </c>
      <c r="F619" s="3" t="s">
        <v>300</v>
      </c>
      <c r="G619" s="35">
        <v>1</v>
      </c>
    </row>
    <row r="620" spans="1:7" x14ac:dyDescent="0.25">
      <c r="A620" s="34">
        <v>45543</v>
      </c>
      <c r="B620" s="3">
        <v>2024</v>
      </c>
      <c r="C620" s="3" t="s">
        <v>307</v>
      </c>
      <c r="D620" s="3">
        <v>9</v>
      </c>
      <c r="E620" s="3" t="s">
        <v>310</v>
      </c>
      <c r="F620" s="3" t="s">
        <v>294</v>
      </c>
      <c r="G620" s="35">
        <v>1</v>
      </c>
    </row>
    <row r="621" spans="1:7" x14ac:dyDescent="0.25">
      <c r="A621" s="34">
        <v>45544</v>
      </c>
      <c r="B621" s="3">
        <v>2024</v>
      </c>
      <c r="C621" s="3" t="s">
        <v>307</v>
      </c>
      <c r="D621" s="3">
        <v>9</v>
      </c>
      <c r="E621" s="3" t="s">
        <v>310</v>
      </c>
      <c r="F621" s="3" t="s">
        <v>295</v>
      </c>
      <c r="G621" s="36">
        <v>0</v>
      </c>
    </row>
    <row r="622" spans="1:7" x14ac:dyDescent="0.25">
      <c r="A622" s="34">
        <v>45545</v>
      </c>
      <c r="B622" s="3">
        <v>2024</v>
      </c>
      <c r="C622" s="3" t="s">
        <v>307</v>
      </c>
      <c r="D622" s="3">
        <v>9</v>
      </c>
      <c r="E622" s="3" t="s">
        <v>310</v>
      </c>
      <c r="F622" s="3" t="s">
        <v>296</v>
      </c>
      <c r="G622" s="36">
        <v>0</v>
      </c>
    </row>
    <row r="623" spans="1:7" x14ac:dyDescent="0.25">
      <c r="A623" s="34">
        <v>45546</v>
      </c>
      <c r="B623" s="3">
        <v>2024</v>
      </c>
      <c r="C623" s="3" t="s">
        <v>307</v>
      </c>
      <c r="D623" s="3">
        <v>9</v>
      </c>
      <c r="E623" s="3" t="s">
        <v>310</v>
      </c>
      <c r="F623" s="3" t="s">
        <v>297</v>
      </c>
      <c r="G623" s="36">
        <v>0</v>
      </c>
    </row>
    <row r="624" spans="1:7" x14ac:dyDescent="0.25">
      <c r="A624" s="34">
        <v>45547</v>
      </c>
      <c r="B624" s="3">
        <v>2024</v>
      </c>
      <c r="C624" s="3" t="s">
        <v>307</v>
      </c>
      <c r="D624" s="3">
        <v>9</v>
      </c>
      <c r="E624" s="3" t="s">
        <v>310</v>
      </c>
      <c r="F624" s="3" t="s">
        <v>298</v>
      </c>
      <c r="G624" s="36">
        <v>0</v>
      </c>
    </row>
    <row r="625" spans="1:7" x14ac:dyDescent="0.25">
      <c r="A625" s="34">
        <v>45548</v>
      </c>
      <c r="B625" s="3">
        <v>2024</v>
      </c>
      <c r="C625" s="3" t="s">
        <v>307</v>
      </c>
      <c r="D625" s="3">
        <v>9</v>
      </c>
      <c r="E625" s="3" t="s">
        <v>310</v>
      </c>
      <c r="F625" s="3" t="s">
        <v>299</v>
      </c>
      <c r="G625" s="36">
        <v>0</v>
      </c>
    </row>
    <row r="626" spans="1:7" x14ac:dyDescent="0.25">
      <c r="A626" s="34">
        <v>45549</v>
      </c>
      <c r="B626" s="3">
        <v>2024</v>
      </c>
      <c r="C626" s="3" t="s">
        <v>307</v>
      </c>
      <c r="D626" s="3">
        <v>9</v>
      </c>
      <c r="E626" s="3" t="s">
        <v>310</v>
      </c>
      <c r="F626" s="3" t="s">
        <v>300</v>
      </c>
      <c r="G626" s="35">
        <v>1</v>
      </c>
    </row>
    <row r="627" spans="1:7" x14ac:dyDescent="0.25">
      <c r="A627" s="34">
        <v>45550</v>
      </c>
      <c r="B627" s="3">
        <v>2024</v>
      </c>
      <c r="C627" s="3" t="s">
        <v>307</v>
      </c>
      <c r="D627" s="3">
        <v>9</v>
      </c>
      <c r="E627" s="3" t="s">
        <v>310</v>
      </c>
      <c r="F627" s="3" t="s">
        <v>294</v>
      </c>
      <c r="G627" s="35">
        <v>1</v>
      </c>
    </row>
    <row r="628" spans="1:7" x14ac:dyDescent="0.25">
      <c r="A628" s="34">
        <v>45551</v>
      </c>
      <c r="B628" s="3">
        <v>2024</v>
      </c>
      <c r="C628" s="3" t="s">
        <v>307</v>
      </c>
      <c r="D628" s="3">
        <v>9</v>
      </c>
      <c r="E628" s="3" t="s">
        <v>310</v>
      </c>
      <c r="F628" s="3" t="s">
        <v>295</v>
      </c>
      <c r="G628" s="36">
        <v>0</v>
      </c>
    </row>
    <row r="629" spans="1:7" x14ac:dyDescent="0.25">
      <c r="A629" s="34">
        <v>45552</v>
      </c>
      <c r="B629" s="3">
        <v>2024</v>
      </c>
      <c r="C629" s="3" t="s">
        <v>307</v>
      </c>
      <c r="D629" s="3">
        <v>9</v>
      </c>
      <c r="E629" s="3" t="s">
        <v>310</v>
      </c>
      <c r="F629" s="3" t="s">
        <v>296</v>
      </c>
      <c r="G629" s="36">
        <v>0</v>
      </c>
    </row>
    <row r="630" spans="1:7" x14ac:dyDescent="0.25">
      <c r="A630" s="34">
        <v>45553</v>
      </c>
      <c r="B630" s="3">
        <v>2024</v>
      </c>
      <c r="C630" s="3" t="s">
        <v>307</v>
      </c>
      <c r="D630" s="3">
        <v>9</v>
      </c>
      <c r="E630" s="3" t="s">
        <v>310</v>
      </c>
      <c r="F630" s="3" t="s">
        <v>297</v>
      </c>
      <c r="G630" s="36">
        <v>0</v>
      </c>
    </row>
    <row r="631" spans="1:7" x14ac:dyDescent="0.25">
      <c r="A631" s="34">
        <v>45554</v>
      </c>
      <c r="B631" s="3">
        <v>2024</v>
      </c>
      <c r="C631" s="3" t="s">
        <v>307</v>
      </c>
      <c r="D631" s="3">
        <v>9</v>
      </c>
      <c r="E631" s="3" t="s">
        <v>310</v>
      </c>
      <c r="F631" s="3" t="s">
        <v>298</v>
      </c>
      <c r="G631" s="36">
        <v>0</v>
      </c>
    </row>
    <row r="632" spans="1:7" x14ac:dyDescent="0.25">
      <c r="A632" s="34">
        <v>45555</v>
      </c>
      <c r="B632" s="3">
        <v>2024</v>
      </c>
      <c r="C632" s="3" t="s">
        <v>307</v>
      </c>
      <c r="D632" s="3">
        <v>9</v>
      </c>
      <c r="E632" s="3" t="s">
        <v>310</v>
      </c>
      <c r="F632" s="3" t="s">
        <v>299</v>
      </c>
      <c r="G632" s="36">
        <v>0</v>
      </c>
    </row>
    <row r="633" spans="1:7" x14ac:dyDescent="0.25">
      <c r="A633" s="34">
        <v>45556</v>
      </c>
      <c r="B633" s="3">
        <v>2024</v>
      </c>
      <c r="C633" s="3" t="s">
        <v>307</v>
      </c>
      <c r="D633" s="3">
        <v>9</v>
      </c>
      <c r="E633" s="3" t="s">
        <v>310</v>
      </c>
      <c r="F633" s="3" t="s">
        <v>300</v>
      </c>
      <c r="G633" s="35">
        <v>1</v>
      </c>
    </row>
    <row r="634" spans="1:7" x14ac:dyDescent="0.25">
      <c r="A634" s="34">
        <v>45557</v>
      </c>
      <c r="B634" s="3">
        <v>2024</v>
      </c>
      <c r="C634" s="3" t="s">
        <v>307</v>
      </c>
      <c r="D634" s="3">
        <v>9</v>
      </c>
      <c r="E634" s="3" t="s">
        <v>310</v>
      </c>
      <c r="F634" s="3" t="s">
        <v>294</v>
      </c>
      <c r="G634" s="35">
        <v>1</v>
      </c>
    </row>
    <row r="635" spans="1:7" x14ac:dyDescent="0.25">
      <c r="A635" s="34">
        <v>45558</v>
      </c>
      <c r="B635" s="3">
        <v>2024</v>
      </c>
      <c r="C635" s="3" t="s">
        <v>307</v>
      </c>
      <c r="D635" s="3">
        <v>9</v>
      </c>
      <c r="E635" s="3" t="s">
        <v>310</v>
      </c>
      <c r="F635" s="3" t="s">
        <v>295</v>
      </c>
      <c r="G635" s="36">
        <v>0</v>
      </c>
    </row>
    <row r="636" spans="1:7" x14ac:dyDescent="0.25">
      <c r="A636" s="34">
        <v>45559</v>
      </c>
      <c r="B636" s="3">
        <v>2024</v>
      </c>
      <c r="C636" s="3" t="s">
        <v>307</v>
      </c>
      <c r="D636" s="3">
        <v>9</v>
      </c>
      <c r="E636" s="3" t="s">
        <v>310</v>
      </c>
      <c r="F636" s="3" t="s">
        <v>296</v>
      </c>
      <c r="G636" s="36">
        <v>0</v>
      </c>
    </row>
    <row r="637" spans="1:7" x14ac:dyDescent="0.25">
      <c r="A637" s="34">
        <v>45560</v>
      </c>
      <c r="B637" s="3">
        <v>2024</v>
      </c>
      <c r="C637" s="3" t="s">
        <v>307</v>
      </c>
      <c r="D637" s="3">
        <v>9</v>
      </c>
      <c r="E637" s="3" t="s">
        <v>310</v>
      </c>
      <c r="F637" s="3" t="s">
        <v>297</v>
      </c>
      <c r="G637" s="36">
        <v>0</v>
      </c>
    </row>
    <row r="638" spans="1:7" x14ac:dyDescent="0.25">
      <c r="A638" s="34">
        <v>45561</v>
      </c>
      <c r="B638" s="3">
        <v>2024</v>
      </c>
      <c r="C638" s="3" t="s">
        <v>307</v>
      </c>
      <c r="D638" s="3">
        <v>9</v>
      </c>
      <c r="E638" s="3" t="s">
        <v>310</v>
      </c>
      <c r="F638" s="3" t="s">
        <v>298</v>
      </c>
      <c r="G638" s="36">
        <v>0</v>
      </c>
    </row>
    <row r="639" spans="1:7" x14ac:dyDescent="0.25">
      <c r="A639" s="34">
        <v>45562</v>
      </c>
      <c r="B639" s="3">
        <v>2024</v>
      </c>
      <c r="C639" s="3" t="s">
        <v>307</v>
      </c>
      <c r="D639" s="3">
        <v>9</v>
      </c>
      <c r="E639" s="3" t="s">
        <v>310</v>
      </c>
      <c r="F639" s="3" t="s">
        <v>299</v>
      </c>
      <c r="G639" s="36">
        <v>0</v>
      </c>
    </row>
    <row r="640" spans="1:7" x14ac:dyDescent="0.25">
      <c r="A640" s="34">
        <v>45563</v>
      </c>
      <c r="B640" s="3">
        <v>2024</v>
      </c>
      <c r="C640" s="3" t="s">
        <v>307</v>
      </c>
      <c r="D640" s="3">
        <v>9</v>
      </c>
      <c r="E640" s="3" t="s">
        <v>310</v>
      </c>
      <c r="F640" s="3" t="s">
        <v>300</v>
      </c>
      <c r="G640" s="35">
        <v>1</v>
      </c>
    </row>
    <row r="641" spans="1:7" x14ac:dyDescent="0.25">
      <c r="A641" s="34">
        <v>45564</v>
      </c>
      <c r="B641" s="3">
        <v>2024</v>
      </c>
      <c r="C641" s="3" t="s">
        <v>307</v>
      </c>
      <c r="D641" s="3">
        <v>9</v>
      </c>
      <c r="E641" s="3" t="s">
        <v>310</v>
      </c>
      <c r="F641" s="3" t="s">
        <v>294</v>
      </c>
      <c r="G641" s="35">
        <v>1</v>
      </c>
    </row>
    <row r="642" spans="1:7" x14ac:dyDescent="0.25">
      <c r="A642" s="34">
        <v>45565</v>
      </c>
      <c r="B642" s="3">
        <v>2024</v>
      </c>
      <c r="C642" s="3" t="s">
        <v>307</v>
      </c>
      <c r="D642" s="3">
        <v>9</v>
      </c>
      <c r="E642" s="3" t="s">
        <v>310</v>
      </c>
      <c r="F642" s="3" t="s">
        <v>295</v>
      </c>
      <c r="G642" s="36">
        <v>0</v>
      </c>
    </row>
    <row r="643" spans="1:7" x14ac:dyDescent="0.25">
      <c r="A643" s="34">
        <v>45566</v>
      </c>
      <c r="B643" s="3">
        <v>2024</v>
      </c>
      <c r="C643" s="3" t="s">
        <v>311</v>
      </c>
      <c r="D643" s="3">
        <v>10</v>
      </c>
      <c r="E643" s="3" t="s">
        <v>312</v>
      </c>
      <c r="F643" s="3" t="s">
        <v>296</v>
      </c>
      <c r="G643" s="36">
        <v>0</v>
      </c>
    </row>
    <row r="644" spans="1:7" x14ac:dyDescent="0.25">
      <c r="A644" s="34">
        <v>45567</v>
      </c>
      <c r="B644" s="3">
        <v>2024</v>
      </c>
      <c r="C644" s="3" t="s">
        <v>311</v>
      </c>
      <c r="D644" s="3">
        <v>10</v>
      </c>
      <c r="E644" s="3" t="s">
        <v>312</v>
      </c>
      <c r="F644" s="3" t="s">
        <v>297</v>
      </c>
      <c r="G644" s="36">
        <v>0</v>
      </c>
    </row>
    <row r="645" spans="1:7" x14ac:dyDescent="0.25">
      <c r="A645" s="34">
        <v>45568</v>
      </c>
      <c r="B645" s="3">
        <v>2024</v>
      </c>
      <c r="C645" s="3" t="s">
        <v>311</v>
      </c>
      <c r="D645" s="3">
        <v>10</v>
      </c>
      <c r="E645" s="3" t="s">
        <v>312</v>
      </c>
      <c r="F645" s="3" t="s">
        <v>298</v>
      </c>
      <c r="G645" s="36">
        <v>0</v>
      </c>
    </row>
    <row r="646" spans="1:7" x14ac:dyDescent="0.25">
      <c r="A646" s="34">
        <v>45569</v>
      </c>
      <c r="B646" s="3">
        <v>2024</v>
      </c>
      <c r="C646" s="3" t="s">
        <v>311</v>
      </c>
      <c r="D646" s="3">
        <v>10</v>
      </c>
      <c r="E646" s="3" t="s">
        <v>312</v>
      </c>
      <c r="F646" s="3" t="s">
        <v>299</v>
      </c>
      <c r="G646" s="36">
        <v>0</v>
      </c>
    </row>
    <row r="647" spans="1:7" x14ac:dyDescent="0.25">
      <c r="A647" s="34">
        <v>45570</v>
      </c>
      <c r="B647" s="3">
        <v>2024</v>
      </c>
      <c r="C647" s="3" t="s">
        <v>311</v>
      </c>
      <c r="D647" s="3">
        <v>10</v>
      </c>
      <c r="E647" s="3" t="s">
        <v>312</v>
      </c>
      <c r="F647" s="3" t="s">
        <v>300</v>
      </c>
      <c r="G647" s="35">
        <v>1</v>
      </c>
    </row>
    <row r="648" spans="1:7" x14ac:dyDescent="0.25">
      <c r="A648" s="34">
        <v>45571</v>
      </c>
      <c r="B648" s="3">
        <v>2024</v>
      </c>
      <c r="C648" s="3" t="s">
        <v>311</v>
      </c>
      <c r="D648" s="3">
        <v>10</v>
      </c>
      <c r="E648" s="3" t="s">
        <v>312</v>
      </c>
      <c r="F648" s="3" t="s">
        <v>294</v>
      </c>
      <c r="G648" s="35">
        <v>1</v>
      </c>
    </row>
    <row r="649" spans="1:7" x14ac:dyDescent="0.25">
      <c r="A649" s="34">
        <v>45572</v>
      </c>
      <c r="B649" s="3">
        <v>2024</v>
      </c>
      <c r="C649" s="3" t="s">
        <v>311</v>
      </c>
      <c r="D649" s="3">
        <v>10</v>
      </c>
      <c r="E649" s="3" t="s">
        <v>312</v>
      </c>
      <c r="F649" s="3" t="s">
        <v>295</v>
      </c>
      <c r="G649" s="36">
        <v>0</v>
      </c>
    </row>
    <row r="650" spans="1:7" x14ac:dyDescent="0.25">
      <c r="A650" s="34">
        <v>45573</v>
      </c>
      <c r="B650" s="3">
        <v>2024</v>
      </c>
      <c r="C650" s="3" t="s">
        <v>311</v>
      </c>
      <c r="D650" s="3">
        <v>10</v>
      </c>
      <c r="E650" s="3" t="s">
        <v>312</v>
      </c>
      <c r="F650" s="3" t="s">
        <v>296</v>
      </c>
      <c r="G650" s="36">
        <v>0</v>
      </c>
    </row>
    <row r="651" spans="1:7" x14ac:dyDescent="0.25">
      <c r="A651" s="34">
        <v>45574</v>
      </c>
      <c r="B651" s="3">
        <v>2024</v>
      </c>
      <c r="C651" s="3" t="s">
        <v>311</v>
      </c>
      <c r="D651" s="3">
        <v>10</v>
      </c>
      <c r="E651" s="3" t="s">
        <v>312</v>
      </c>
      <c r="F651" s="3" t="s">
        <v>297</v>
      </c>
      <c r="G651" s="36">
        <v>0</v>
      </c>
    </row>
    <row r="652" spans="1:7" x14ac:dyDescent="0.25">
      <c r="A652" s="34">
        <v>45575</v>
      </c>
      <c r="B652" s="3">
        <v>2024</v>
      </c>
      <c r="C652" s="3" t="s">
        <v>311</v>
      </c>
      <c r="D652" s="3">
        <v>10</v>
      </c>
      <c r="E652" s="3" t="s">
        <v>312</v>
      </c>
      <c r="F652" s="3" t="s">
        <v>298</v>
      </c>
      <c r="G652" s="36">
        <v>0</v>
      </c>
    </row>
    <row r="653" spans="1:7" x14ac:dyDescent="0.25">
      <c r="A653" s="34">
        <v>45576</v>
      </c>
      <c r="B653" s="3">
        <v>2024</v>
      </c>
      <c r="C653" s="3" t="s">
        <v>311</v>
      </c>
      <c r="D653" s="3">
        <v>10</v>
      </c>
      <c r="E653" s="3" t="s">
        <v>312</v>
      </c>
      <c r="F653" s="3" t="s">
        <v>299</v>
      </c>
      <c r="G653" s="36">
        <v>0</v>
      </c>
    </row>
    <row r="654" spans="1:7" x14ac:dyDescent="0.25">
      <c r="A654" s="34">
        <v>45577</v>
      </c>
      <c r="B654" s="3">
        <v>2024</v>
      </c>
      <c r="C654" s="3" t="s">
        <v>311</v>
      </c>
      <c r="D654" s="3">
        <v>10</v>
      </c>
      <c r="E654" s="3" t="s">
        <v>312</v>
      </c>
      <c r="F654" s="3" t="s">
        <v>300</v>
      </c>
      <c r="G654" s="35">
        <v>1</v>
      </c>
    </row>
    <row r="655" spans="1:7" x14ac:dyDescent="0.25">
      <c r="A655" s="34">
        <v>45578</v>
      </c>
      <c r="B655" s="3">
        <v>2024</v>
      </c>
      <c r="C655" s="3" t="s">
        <v>311</v>
      </c>
      <c r="D655" s="3">
        <v>10</v>
      </c>
      <c r="E655" s="3" t="s">
        <v>312</v>
      </c>
      <c r="F655" s="3" t="s">
        <v>294</v>
      </c>
      <c r="G655" s="35">
        <v>1</v>
      </c>
    </row>
    <row r="656" spans="1:7" x14ac:dyDescent="0.25">
      <c r="A656" s="34">
        <v>45579</v>
      </c>
      <c r="B656" s="3">
        <v>2024</v>
      </c>
      <c r="C656" s="3" t="s">
        <v>311</v>
      </c>
      <c r="D656" s="3">
        <v>10</v>
      </c>
      <c r="E656" s="3" t="s">
        <v>312</v>
      </c>
      <c r="F656" s="3" t="s">
        <v>295</v>
      </c>
      <c r="G656" s="36">
        <v>0</v>
      </c>
    </row>
    <row r="657" spans="1:7" x14ac:dyDescent="0.25">
      <c r="A657" s="34">
        <v>45580</v>
      </c>
      <c r="B657" s="3">
        <v>2024</v>
      </c>
      <c r="C657" s="3" t="s">
        <v>311</v>
      </c>
      <c r="D657" s="3">
        <v>10</v>
      </c>
      <c r="E657" s="3" t="s">
        <v>312</v>
      </c>
      <c r="F657" s="3" t="s">
        <v>296</v>
      </c>
      <c r="G657" s="36">
        <v>0</v>
      </c>
    </row>
    <row r="658" spans="1:7" x14ac:dyDescent="0.25">
      <c r="A658" s="34">
        <v>45581</v>
      </c>
      <c r="B658" s="3">
        <v>2024</v>
      </c>
      <c r="C658" s="3" t="s">
        <v>311</v>
      </c>
      <c r="D658" s="3">
        <v>10</v>
      </c>
      <c r="E658" s="3" t="s">
        <v>312</v>
      </c>
      <c r="F658" s="3" t="s">
        <v>297</v>
      </c>
      <c r="G658" s="36">
        <v>0</v>
      </c>
    </row>
    <row r="659" spans="1:7" x14ac:dyDescent="0.25">
      <c r="A659" s="34">
        <v>45582</v>
      </c>
      <c r="B659" s="3">
        <v>2024</v>
      </c>
      <c r="C659" s="3" t="s">
        <v>311</v>
      </c>
      <c r="D659" s="3">
        <v>10</v>
      </c>
      <c r="E659" s="3" t="s">
        <v>312</v>
      </c>
      <c r="F659" s="3" t="s">
        <v>298</v>
      </c>
      <c r="G659" s="36">
        <v>0</v>
      </c>
    </row>
    <row r="660" spans="1:7" x14ac:dyDescent="0.25">
      <c r="A660" s="34">
        <v>45583</v>
      </c>
      <c r="B660" s="3">
        <v>2024</v>
      </c>
      <c r="C660" s="3" t="s">
        <v>311</v>
      </c>
      <c r="D660" s="3">
        <v>10</v>
      </c>
      <c r="E660" s="3" t="s">
        <v>312</v>
      </c>
      <c r="F660" s="3" t="s">
        <v>299</v>
      </c>
      <c r="G660" s="36">
        <v>0</v>
      </c>
    </row>
    <row r="661" spans="1:7" x14ac:dyDescent="0.25">
      <c r="A661" s="34">
        <v>45584</v>
      </c>
      <c r="B661" s="3">
        <v>2024</v>
      </c>
      <c r="C661" s="3" t="s">
        <v>311</v>
      </c>
      <c r="D661" s="3">
        <v>10</v>
      </c>
      <c r="E661" s="3" t="s">
        <v>312</v>
      </c>
      <c r="F661" s="3" t="s">
        <v>300</v>
      </c>
      <c r="G661" s="35">
        <v>1</v>
      </c>
    </row>
    <row r="662" spans="1:7" x14ac:dyDescent="0.25">
      <c r="A662" s="34">
        <v>45585</v>
      </c>
      <c r="B662" s="3">
        <v>2024</v>
      </c>
      <c r="C662" s="3" t="s">
        <v>311</v>
      </c>
      <c r="D662" s="3">
        <v>10</v>
      </c>
      <c r="E662" s="3" t="s">
        <v>312</v>
      </c>
      <c r="F662" s="3" t="s">
        <v>294</v>
      </c>
      <c r="G662" s="35">
        <v>1</v>
      </c>
    </row>
    <row r="663" spans="1:7" x14ac:dyDescent="0.25">
      <c r="A663" s="34">
        <v>45586</v>
      </c>
      <c r="B663" s="3">
        <v>2024</v>
      </c>
      <c r="C663" s="3" t="s">
        <v>311</v>
      </c>
      <c r="D663" s="3">
        <v>10</v>
      </c>
      <c r="E663" s="3" t="s">
        <v>312</v>
      </c>
      <c r="F663" s="3" t="s">
        <v>295</v>
      </c>
      <c r="G663" s="36">
        <v>0</v>
      </c>
    </row>
    <row r="664" spans="1:7" x14ac:dyDescent="0.25">
      <c r="A664" s="34">
        <v>45587</v>
      </c>
      <c r="B664" s="3">
        <v>2024</v>
      </c>
      <c r="C664" s="3" t="s">
        <v>311</v>
      </c>
      <c r="D664" s="3">
        <v>10</v>
      </c>
      <c r="E664" s="3" t="s">
        <v>312</v>
      </c>
      <c r="F664" s="3" t="s">
        <v>296</v>
      </c>
      <c r="G664" s="36">
        <v>0</v>
      </c>
    </row>
    <row r="665" spans="1:7" x14ac:dyDescent="0.25">
      <c r="A665" s="34">
        <v>45588</v>
      </c>
      <c r="B665" s="3">
        <v>2024</v>
      </c>
      <c r="C665" s="3" t="s">
        <v>311</v>
      </c>
      <c r="D665" s="3">
        <v>10</v>
      </c>
      <c r="E665" s="3" t="s">
        <v>312</v>
      </c>
      <c r="F665" s="3" t="s">
        <v>297</v>
      </c>
      <c r="G665" s="36">
        <v>0</v>
      </c>
    </row>
    <row r="666" spans="1:7" x14ac:dyDescent="0.25">
      <c r="A666" s="34">
        <v>45589</v>
      </c>
      <c r="B666" s="3">
        <v>2024</v>
      </c>
      <c r="C666" s="3" t="s">
        <v>311</v>
      </c>
      <c r="D666" s="3">
        <v>10</v>
      </c>
      <c r="E666" s="3" t="s">
        <v>312</v>
      </c>
      <c r="F666" s="3" t="s">
        <v>298</v>
      </c>
      <c r="G666" s="36">
        <v>0</v>
      </c>
    </row>
    <row r="667" spans="1:7" x14ac:dyDescent="0.25">
      <c r="A667" s="34">
        <v>45590</v>
      </c>
      <c r="B667" s="3">
        <v>2024</v>
      </c>
      <c r="C667" s="3" t="s">
        <v>311</v>
      </c>
      <c r="D667" s="3">
        <v>10</v>
      </c>
      <c r="E667" s="3" t="s">
        <v>312</v>
      </c>
      <c r="F667" s="3" t="s">
        <v>299</v>
      </c>
      <c r="G667" s="36">
        <v>0</v>
      </c>
    </row>
    <row r="668" spans="1:7" x14ac:dyDescent="0.25">
      <c r="A668" s="34">
        <v>45591</v>
      </c>
      <c r="B668" s="3">
        <v>2024</v>
      </c>
      <c r="C668" s="3" t="s">
        <v>311</v>
      </c>
      <c r="D668" s="3">
        <v>10</v>
      </c>
      <c r="E668" s="3" t="s">
        <v>312</v>
      </c>
      <c r="F668" s="3" t="s">
        <v>300</v>
      </c>
      <c r="G668" s="35">
        <v>1</v>
      </c>
    </row>
    <row r="669" spans="1:7" x14ac:dyDescent="0.25">
      <c r="A669" s="34">
        <v>45592</v>
      </c>
      <c r="B669" s="3">
        <v>2024</v>
      </c>
      <c r="C669" s="3" t="s">
        <v>311</v>
      </c>
      <c r="D669" s="3">
        <v>10</v>
      </c>
      <c r="E669" s="3" t="s">
        <v>312</v>
      </c>
      <c r="F669" s="3" t="s">
        <v>294</v>
      </c>
      <c r="G669" s="35">
        <v>1</v>
      </c>
    </row>
    <row r="670" spans="1:7" x14ac:dyDescent="0.25">
      <c r="A670" s="34">
        <v>45593</v>
      </c>
      <c r="B670" s="3">
        <v>2024</v>
      </c>
      <c r="C670" s="3" t="s">
        <v>311</v>
      </c>
      <c r="D670" s="3">
        <v>10</v>
      </c>
      <c r="E670" s="3" t="s">
        <v>312</v>
      </c>
      <c r="F670" s="3" t="s">
        <v>295</v>
      </c>
      <c r="G670" s="36">
        <v>0</v>
      </c>
    </row>
    <row r="671" spans="1:7" x14ac:dyDescent="0.25">
      <c r="A671" s="34">
        <v>45594</v>
      </c>
      <c r="B671" s="3">
        <v>2024</v>
      </c>
      <c r="C671" s="3" t="s">
        <v>311</v>
      </c>
      <c r="D671" s="3">
        <v>10</v>
      </c>
      <c r="E671" s="3" t="s">
        <v>312</v>
      </c>
      <c r="F671" s="3" t="s">
        <v>296</v>
      </c>
      <c r="G671" s="36">
        <v>0</v>
      </c>
    </row>
    <row r="672" spans="1:7" x14ac:dyDescent="0.25">
      <c r="A672" s="34">
        <v>45595</v>
      </c>
      <c r="B672" s="3">
        <v>2024</v>
      </c>
      <c r="C672" s="3" t="s">
        <v>311</v>
      </c>
      <c r="D672" s="3">
        <v>10</v>
      </c>
      <c r="E672" s="3" t="s">
        <v>312</v>
      </c>
      <c r="F672" s="3" t="s">
        <v>297</v>
      </c>
      <c r="G672" s="36">
        <v>0</v>
      </c>
    </row>
    <row r="673" spans="1:7" x14ac:dyDescent="0.25">
      <c r="A673" s="34">
        <v>45596</v>
      </c>
      <c r="B673" s="3">
        <v>2024</v>
      </c>
      <c r="C673" s="3" t="s">
        <v>311</v>
      </c>
      <c r="D673" s="3">
        <v>10</v>
      </c>
      <c r="E673" s="3" t="s">
        <v>312</v>
      </c>
      <c r="F673" s="3" t="s">
        <v>298</v>
      </c>
      <c r="G673" s="36">
        <v>0</v>
      </c>
    </row>
    <row r="674" spans="1:7" x14ac:dyDescent="0.25">
      <c r="A674" s="34">
        <v>45597</v>
      </c>
      <c r="B674" s="3">
        <v>2024</v>
      </c>
      <c r="C674" s="3" t="s">
        <v>311</v>
      </c>
      <c r="D674" s="3">
        <v>11</v>
      </c>
      <c r="E674" s="3" t="s">
        <v>313</v>
      </c>
      <c r="F674" s="3" t="s">
        <v>299</v>
      </c>
      <c r="G674" s="36">
        <v>0</v>
      </c>
    </row>
    <row r="675" spans="1:7" x14ac:dyDescent="0.25">
      <c r="A675" s="34">
        <v>45598</v>
      </c>
      <c r="B675" s="3">
        <v>2024</v>
      </c>
      <c r="C675" s="3" t="s">
        <v>311</v>
      </c>
      <c r="D675" s="3">
        <v>11</v>
      </c>
      <c r="E675" s="3" t="s">
        <v>313</v>
      </c>
      <c r="F675" s="3" t="s">
        <v>300</v>
      </c>
      <c r="G675" s="35">
        <v>1</v>
      </c>
    </row>
    <row r="676" spans="1:7" x14ac:dyDescent="0.25">
      <c r="A676" s="34">
        <v>45599</v>
      </c>
      <c r="B676" s="3">
        <v>2024</v>
      </c>
      <c r="C676" s="3" t="s">
        <v>311</v>
      </c>
      <c r="D676" s="3">
        <v>11</v>
      </c>
      <c r="E676" s="3" t="s">
        <v>313</v>
      </c>
      <c r="F676" s="3" t="s">
        <v>294</v>
      </c>
      <c r="G676" s="35">
        <v>1</v>
      </c>
    </row>
    <row r="677" spans="1:7" x14ac:dyDescent="0.25">
      <c r="A677" s="34">
        <v>45600</v>
      </c>
      <c r="B677" s="3">
        <v>2024</v>
      </c>
      <c r="C677" s="3" t="s">
        <v>311</v>
      </c>
      <c r="D677" s="3">
        <v>11</v>
      </c>
      <c r="E677" s="3" t="s">
        <v>313</v>
      </c>
      <c r="F677" s="3" t="s">
        <v>295</v>
      </c>
      <c r="G677" s="36">
        <v>0</v>
      </c>
    </row>
    <row r="678" spans="1:7" x14ac:dyDescent="0.25">
      <c r="A678" s="34">
        <v>45601</v>
      </c>
      <c r="B678" s="3">
        <v>2024</v>
      </c>
      <c r="C678" s="3" t="s">
        <v>311</v>
      </c>
      <c r="D678" s="3">
        <v>11</v>
      </c>
      <c r="E678" s="3" t="s">
        <v>313</v>
      </c>
      <c r="F678" s="3" t="s">
        <v>296</v>
      </c>
      <c r="G678" s="36">
        <v>0</v>
      </c>
    </row>
    <row r="679" spans="1:7" x14ac:dyDescent="0.25">
      <c r="A679" s="34">
        <v>45602</v>
      </c>
      <c r="B679" s="3">
        <v>2024</v>
      </c>
      <c r="C679" s="3" t="s">
        <v>311</v>
      </c>
      <c r="D679" s="3">
        <v>11</v>
      </c>
      <c r="E679" s="3" t="s">
        <v>313</v>
      </c>
      <c r="F679" s="3" t="s">
        <v>297</v>
      </c>
      <c r="G679" s="36">
        <v>0</v>
      </c>
    </row>
    <row r="680" spans="1:7" x14ac:dyDescent="0.25">
      <c r="A680" s="34">
        <v>45603</v>
      </c>
      <c r="B680" s="3">
        <v>2024</v>
      </c>
      <c r="C680" s="3" t="s">
        <v>311</v>
      </c>
      <c r="D680" s="3">
        <v>11</v>
      </c>
      <c r="E680" s="3" t="s">
        <v>313</v>
      </c>
      <c r="F680" s="3" t="s">
        <v>298</v>
      </c>
      <c r="G680" s="36">
        <v>0</v>
      </c>
    </row>
    <row r="681" spans="1:7" x14ac:dyDescent="0.25">
      <c r="A681" s="34">
        <v>45604</v>
      </c>
      <c r="B681" s="3">
        <v>2024</v>
      </c>
      <c r="C681" s="3" t="s">
        <v>311</v>
      </c>
      <c r="D681" s="3">
        <v>11</v>
      </c>
      <c r="E681" s="3" t="s">
        <v>313</v>
      </c>
      <c r="F681" s="3" t="s">
        <v>299</v>
      </c>
      <c r="G681" s="36">
        <v>0</v>
      </c>
    </row>
    <row r="682" spans="1:7" x14ac:dyDescent="0.25">
      <c r="A682" s="34">
        <v>45605</v>
      </c>
      <c r="B682" s="3">
        <v>2024</v>
      </c>
      <c r="C682" s="3" t="s">
        <v>311</v>
      </c>
      <c r="D682" s="3">
        <v>11</v>
      </c>
      <c r="E682" s="3" t="s">
        <v>313</v>
      </c>
      <c r="F682" s="3" t="s">
        <v>300</v>
      </c>
      <c r="G682" s="35">
        <v>1</v>
      </c>
    </row>
    <row r="683" spans="1:7" x14ac:dyDescent="0.25">
      <c r="A683" s="34">
        <v>45606</v>
      </c>
      <c r="B683" s="3">
        <v>2024</v>
      </c>
      <c r="C683" s="3" t="s">
        <v>311</v>
      </c>
      <c r="D683" s="3">
        <v>11</v>
      </c>
      <c r="E683" s="3" t="s">
        <v>313</v>
      </c>
      <c r="F683" s="3" t="s">
        <v>294</v>
      </c>
      <c r="G683" s="35">
        <v>1</v>
      </c>
    </row>
    <row r="684" spans="1:7" x14ac:dyDescent="0.25">
      <c r="A684" s="34">
        <v>45607</v>
      </c>
      <c r="B684" s="3">
        <v>2024</v>
      </c>
      <c r="C684" s="3" t="s">
        <v>311</v>
      </c>
      <c r="D684" s="3">
        <v>11</v>
      </c>
      <c r="E684" s="3" t="s">
        <v>313</v>
      </c>
      <c r="F684" s="3" t="s">
        <v>295</v>
      </c>
      <c r="G684" s="36">
        <v>0</v>
      </c>
    </row>
    <row r="685" spans="1:7" x14ac:dyDescent="0.25">
      <c r="A685" s="34">
        <v>45608</v>
      </c>
      <c r="B685" s="3">
        <v>2024</v>
      </c>
      <c r="C685" s="3" t="s">
        <v>311</v>
      </c>
      <c r="D685" s="3">
        <v>11</v>
      </c>
      <c r="E685" s="3" t="s">
        <v>313</v>
      </c>
      <c r="F685" s="3" t="s">
        <v>296</v>
      </c>
      <c r="G685" s="36">
        <v>0</v>
      </c>
    </row>
    <row r="686" spans="1:7" x14ac:dyDescent="0.25">
      <c r="A686" s="34">
        <v>45609</v>
      </c>
      <c r="B686" s="3">
        <v>2024</v>
      </c>
      <c r="C686" s="3" t="s">
        <v>311</v>
      </c>
      <c r="D686" s="3">
        <v>11</v>
      </c>
      <c r="E686" s="3" t="s">
        <v>313</v>
      </c>
      <c r="F686" s="3" t="s">
        <v>297</v>
      </c>
      <c r="G686" s="36">
        <v>0</v>
      </c>
    </row>
    <row r="687" spans="1:7" x14ac:dyDescent="0.25">
      <c r="A687" s="34">
        <v>45610</v>
      </c>
      <c r="B687" s="3">
        <v>2024</v>
      </c>
      <c r="C687" s="3" t="s">
        <v>311</v>
      </c>
      <c r="D687" s="3">
        <v>11</v>
      </c>
      <c r="E687" s="3" t="s">
        <v>313</v>
      </c>
      <c r="F687" s="3" t="s">
        <v>298</v>
      </c>
      <c r="G687" s="36">
        <v>0</v>
      </c>
    </row>
    <row r="688" spans="1:7" x14ac:dyDescent="0.25">
      <c r="A688" s="34">
        <v>45611</v>
      </c>
      <c r="B688" s="3">
        <v>2024</v>
      </c>
      <c r="C688" s="3" t="s">
        <v>311</v>
      </c>
      <c r="D688" s="3">
        <v>11</v>
      </c>
      <c r="E688" s="3" t="s">
        <v>313</v>
      </c>
      <c r="F688" s="3" t="s">
        <v>299</v>
      </c>
      <c r="G688" s="36">
        <v>0</v>
      </c>
    </row>
    <row r="689" spans="1:7" x14ac:dyDescent="0.25">
      <c r="A689" s="34">
        <v>45612</v>
      </c>
      <c r="B689" s="3">
        <v>2024</v>
      </c>
      <c r="C689" s="3" t="s">
        <v>311</v>
      </c>
      <c r="D689" s="3">
        <v>11</v>
      </c>
      <c r="E689" s="3" t="s">
        <v>313</v>
      </c>
      <c r="F689" s="3" t="s">
        <v>300</v>
      </c>
      <c r="G689" s="35">
        <v>1</v>
      </c>
    </row>
    <row r="690" spans="1:7" x14ac:dyDescent="0.25">
      <c r="A690" s="34">
        <v>45613</v>
      </c>
      <c r="B690" s="3">
        <v>2024</v>
      </c>
      <c r="C690" s="3" t="s">
        <v>311</v>
      </c>
      <c r="D690" s="3">
        <v>11</v>
      </c>
      <c r="E690" s="3" t="s">
        <v>313</v>
      </c>
      <c r="F690" s="3" t="s">
        <v>294</v>
      </c>
      <c r="G690" s="35">
        <v>1</v>
      </c>
    </row>
    <row r="691" spans="1:7" x14ac:dyDescent="0.25">
      <c r="A691" s="34">
        <v>45614</v>
      </c>
      <c r="B691" s="3">
        <v>2024</v>
      </c>
      <c r="C691" s="3" t="s">
        <v>311</v>
      </c>
      <c r="D691" s="3">
        <v>11</v>
      </c>
      <c r="E691" s="3" t="s">
        <v>313</v>
      </c>
      <c r="F691" s="3" t="s">
        <v>295</v>
      </c>
      <c r="G691" s="36">
        <v>0</v>
      </c>
    </row>
    <row r="692" spans="1:7" x14ac:dyDescent="0.25">
      <c r="A692" s="34">
        <v>45615</v>
      </c>
      <c r="B692" s="3">
        <v>2024</v>
      </c>
      <c r="C692" s="3" t="s">
        <v>311</v>
      </c>
      <c r="D692" s="3">
        <v>11</v>
      </c>
      <c r="E692" s="3" t="s">
        <v>313</v>
      </c>
      <c r="F692" s="3" t="s">
        <v>296</v>
      </c>
      <c r="G692" s="36">
        <v>0</v>
      </c>
    </row>
    <row r="693" spans="1:7" x14ac:dyDescent="0.25">
      <c r="A693" s="34">
        <v>45616</v>
      </c>
      <c r="B693" s="3">
        <v>2024</v>
      </c>
      <c r="C693" s="3" t="s">
        <v>311</v>
      </c>
      <c r="D693" s="3">
        <v>11</v>
      </c>
      <c r="E693" s="3" t="s">
        <v>313</v>
      </c>
      <c r="F693" s="3" t="s">
        <v>297</v>
      </c>
      <c r="G693" s="36">
        <v>0</v>
      </c>
    </row>
    <row r="694" spans="1:7" x14ac:dyDescent="0.25">
      <c r="A694" s="34">
        <v>45617</v>
      </c>
      <c r="B694" s="3">
        <v>2024</v>
      </c>
      <c r="C694" s="3" t="s">
        <v>311</v>
      </c>
      <c r="D694" s="3">
        <v>11</v>
      </c>
      <c r="E694" s="3" t="s">
        <v>313</v>
      </c>
      <c r="F694" s="3" t="s">
        <v>298</v>
      </c>
      <c r="G694" s="36">
        <v>0</v>
      </c>
    </row>
    <row r="695" spans="1:7" x14ac:dyDescent="0.25">
      <c r="A695" s="34">
        <v>45618</v>
      </c>
      <c r="B695" s="3">
        <v>2024</v>
      </c>
      <c r="C695" s="3" t="s">
        <v>311</v>
      </c>
      <c r="D695" s="3">
        <v>11</v>
      </c>
      <c r="E695" s="3" t="s">
        <v>313</v>
      </c>
      <c r="F695" s="3" t="s">
        <v>299</v>
      </c>
      <c r="G695" s="36">
        <v>0</v>
      </c>
    </row>
    <row r="696" spans="1:7" x14ac:dyDescent="0.25">
      <c r="A696" s="34">
        <v>45619</v>
      </c>
      <c r="B696" s="3">
        <v>2024</v>
      </c>
      <c r="C696" s="3" t="s">
        <v>311</v>
      </c>
      <c r="D696" s="3">
        <v>11</v>
      </c>
      <c r="E696" s="3" t="s">
        <v>313</v>
      </c>
      <c r="F696" s="3" t="s">
        <v>300</v>
      </c>
      <c r="G696" s="35">
        <v>1</v>
      </c>
    </row>
    <row r="697" spans="1:7" x14ac:dyDescent="0.25">
      <c r="A697" s="34">
        <v>45620</v>
      </c>
      <c r="B697" s="3">
        <v>2024</v>
      </c>
      <c r="C697" s="3" t="s">
        <v>311</v>
      </c>
      <c r="D697" s="3">
        <v>11</v>
      </c>
      <c r="E697" s="3" t="s">
        <v>313</v>
      </c>
      <c r="F697" s="3" t="s">
        <v>294</v>
      </c>
      <c r="G697" s="35">
        <v>1</v>
      </c>
    </row>
    <row r="698" spans="1:7" x14ac:dyDescent="0.25">
      <c r="A698" s="34">
        <v>45621</v>
      </c>
      <c r="B698" s="3">
        <v>2024</v>
      </c>
      <c r="C698" s="3" t="s">
        <v>311</v>
      </c>
      <c r="D698" s="3">
        <v>11</v>
      </c>
      <c r="E698" s="3" t="s">
        <v>313</v>
      </c>
      <c r="F698" s="3" t="s">
        <v>295</v>
      </c>
      <c r="G698" s="36">
        <v>0</v>
      </c>
    </row>
    <row r="699" spans="1:7" x14ac:dyDescent="0.25">
      <c r="A699" s="34">
        <v>45622</v>
      </c>
      <c r="B699" s="3">
        <v>2024</v>
      </c>
      <c r="C699" s="3" t="s">
        <v>311</v>
      </c>
      <c r="D699" s="3">
        <v>11</v>
      </c>
      <c r="E699" s="3" t="s">
        <v>313</v>
      </c>
      <c r="F699" s="3" t="s">
        <v>296</v>
      </c>
      <c r="G699" s="36">
        <v>0</v>
      </c>
    </row>
    <row r="700" spans="1:7" x14ac:dyDescent="0.25">
      <c r="A700" s="34">
        <v>45623</v>
      </c>
      <c r="B700" s="3">
        <v>2024</v>
      </c>
      <c r="C700" s="3" t="s">
        <v>311</v>
      </c>
      <c r="D700" s="3">
        <v>11</v>
      </c>
      <c r="E700" s="3" t="s">
        <v>313</v>
      </c>
      <c r="F700" s="3" t="s">
        <v>297</v>
      </c>
      <c r="G700" s="36">
        <v>0</v>
      </c>
    </row>
    <row r="701" spans="1:7" x14ac:dyDescent="0.25">
      <c r="A701" s="34">
        <v>45624</v>
      </c>
      <c r="B701" s="3">
        <v>2024</v>
      </c>
      <c r="C701" s="3" t="s">
        <v>311</v>
      </c>
      <c r="D701" s="3">
        <v>11</v>
      </c>
      <c r="E701" s="3" t="s">
        <v>313</v>
      </c>
      <c r="F701" s="3" t="s">
        <v>298</v>
      </c>
      <c r="G701" s="36">
        <v>0</v>
      </c>
    </row>
    <row r="702" spans="1:7" x14ac:dyDescent="0.25">
      <c r="A702" s="34">
        <v>45625</v>
      </c>
      <c r="B702" s="3">
        <v>2024</v>
      </c>
      <c r="C702" s="3" t="s">
        <v>311</v>
      </c>
      <c r="D702" s="3">
        <v>11</v>
      </c>
      <c r="E702" s="3" t="s">
        <v>313</v>
      </c>
      <c r="F702" s="3" t="s">
        <v>299</v>
      </c>
      <c r="G702" s="36">
        <v>0</v>
      </c>
    </row>
    <row r="703" spans="1:7" x14ac:dyDescent="0.25">
      <c r="A703" s="34">
        <v>45626</v>
      </c>
      <c r="B703" s="3">
        <v>2024</v>
      </c>
      <c r="C703" s="3" t="s">
        <v>311</v>
      </c>
      <c r="D703" s="3">
        <v>11</v>
      </c>
      <c r="E703" s="3" t="s">
        <v>313</v>
      </c>
      <c r="F703" s="3" t="s">
        <v>300</v>
      </c>
      <c r="G703" s="35">
        <v>1</v>
      </c>
    </row>
    <row r="704" spans="1:7" x14ac:dyDescent="0.25">
      <c r="A704" s="34">
        <v>45627</v>
      </c>
      <c r="B704" s="3">
        <v>2024</v>
      </c>
      <c r="C704" s="3" t="s">
        <v>311</v>
      </c>
      <c r="D704" s="3">
        <v>12</v>
      </c>
      <c r="E704" s="3" t="s">
        <v>314</v>
      </c>
      <c r="F704" s="3" t="s">
        <v>294</v>
      </c>
      <c r="G704" s="35">
        <v>1</v>
      </c>
    </row>
    <row r="705" spans="1:7" x14ac:dyDescent="0.25">
      <c r="A705" s="34">
        <v>45628</v>
      </c>
      <c r="B705" s="3">
        <v>2024</v>
      </c>
      <c r="C705" s="3" t="s">
        <v>311</v>
      </c>
      <c r="D705" s="3">
        <v>12</v>
      </c>
      <c r="E705" s="3" t="s">
        <v>314</v>
      </c>
      <c r="F705" s="3" t="s">
        <v>295</v>
      </c>
      <c r="G705" s="36">
        <v>0</v>
      </c>
    </row>
    <row r="706" spans="1:7" x14ac:dyDescent="0.25">
      <c r="A706" s="34">
        <v>45629</v>
      </c>
      <c r="B706" s="3">
        <v>2024</v>
      </c>
      <c r="C706" s="3" t="s">
        <v>311</v>
      </c>
      <c r="D706" s="3">
        <v>12</v>
      </c>
      <c r="E706" s="3" t="s">
        <v>314</v>
      </c>
      <c r="F706" s="3" t="s">
        <v>296</v>
      </c>
      <c r="G706" s="36">
        <v>0</v>
      </c>
    </row>
    <row r="707" spans="1:7" x14ac:dyDescent="0.25">
      <c r="A707" s="34">
        <v>45630</v>
      </c>
      <c r="B707" s="3">
        <v>2024</v>
      </c>
      <c r="C707" s="3" t="s">
        <v>311</v>
      </c>
      <c r="D707" s="3">
        <v>12</v>
      </c>
      <c r="E707" s="3" t="s">
        <v>314</v>
      </c>
      <c r="F707" s="3" t="s">
        <v>297</v>
      </c>
      <c r="G707" s="36">
        <v>0</v>
      </c>
    </row>
    <row r="708" spans="1:7" x14ac:dyDescent="0.25">
      <c r="A708" s="34">
        <v>45631</v>
      </c>
      <c r="B708" s="3">
        <v>2024</v>
      </c>
      <c r="C708" s="3" t="s">
        <v>311</v>
      </c>
      <c r="D708" s="3">
        <v>12</v>
      </c>
      <c r="E708" s="3" t="s">
        <v>314</v>
      </c>
      <c r="F708" s="3" t="s">
        <v>298</v>
      </c>
      <c r="G708" s="36">
        <v>0</v>
      </c>
    </row>
    <row r="709" spans="1:7" x14ac:dyDescent="0.25">
      <c r="A709" s="34">
        <v>45632</v>
      </c>
      <c r="B709" s="3">
        <v>2024</v>
      </c>
      <c r="C709" s="3" t="s">
        <v>311</v>
      </c>
      <c r="D709" s="3">
        <v>12</v>
      </c>
      <c r="E709" s="3" t="s">
        <v>314</v>
      </c>
      <c r="F709" s="3" t="s">
        <v>299</v>
      </c>
      <c r="G709" s="36">
        <v>0</v>
      </c>
    </row>
    <row r="710" spans="1:7" x14ac:dyDescent="0.25">
      <c r="A710" s="34">
        <v>45633</v>
      </c>
      <c r="B710" s="3">
        <v>2024</v>
      </c>
      <c r="C710" s="3" t="s">
        <v>311</v>
      </c>
      <c r="D710" s="3">
        <v>12</v>
      </c>
      <c r="E710" s="3" t="s">
        <v>314</v>
      </c>
      <c r="F710" s="3" t="s">
        <v>300</v>
      </c>
      <c r="G710" s="35">
        <v>1</v>
      </c>
    </row>
    <row r="711" spans="1:7" x14ac:dyDescent="0.25">
      <c r="A711" s="34">
        <v>45634</v>
      </c>
      <c r="B711" s="3">
        <v>2024</v>
      </c>
      <c r="C711" s="3" t="s">
        <v>311</v>
      </c>
      <c r="D711" s="3">
        <v>12</v>
      </c>
      <c r="E711" s="3" t="s">
        <v>314</v>
      </c>
      <c r="F711" s="3" t="s">
        <v>294</v>
      </c>
      <c r="G711" s="35">
        <v>1</v>
      </c>
    </row>
    <row r="712" spans="1:7" x14ac:dyDescent="0.25">
      <c r="A712" s="34">
        <v>45635</v>
      </c>
      <c r="B712" s="3">
        <v>2024</v>
      </c>
      <c r="C712" s="3" t="s">
        <v>311</v>
      </c>
      <c r="D712" s="3">
        <v>12</v>
      </c>
      <c r="E712" s="3" t="s">
        <v>314</v>
      </c>
      <c r="F712" s="3" t="s">
        <v>295</v>
      </c>
      <c r="G712" s="36">
        <v>0</v>
      </c>
    </row>
    <row r="713" spans="1:7" x14ac:dyDescent="0.25">
      <c r="A713" s="34">
        <v>45636</v>
      </c>
      <c r="B713" s="3">
        <v>2024</v>
      </c>
      <c r="C713" s="3" t="s">
        <v>311</v>
      </c>
      <c r="D713" s="3">
        <v>12</v>
      </c>
      <c r="E713" s="3" t="s">
        <v>314</v>
      </c>
      <c r="F713" s="3" t="s">
        <v>296</v>
      </c>
      <c r="G713" s="36">
        <v>0</v>
      </c>
    </row>
    <row r="714" spans="1:7" x14ac:dyDescent="0.25">
      <c r="A714" s="34">
        <v>45637</v>
      </c>
      <c r="B714" s="3">
        <v>2024</v>
      </c>
      <c r="C714" s="3" t="s">
        <v>311</v>
      </c>
      <c r="D714" s="3">
        <v>12</v>
      </c>
      <c r="E714" s="3" t="s">
        <v>314</v>
      </c>
      <c r="F714" s="3" t="s">
        <v>297</v>
      </c>
      <c r="G714" s="36">
        <v>0</v>
      </c>
    </row>
    <row r="715" spans="1:7" x14ac:dyDescent="0.25">
      <c r="A715" s="34">
        <v>45638</v>
      </c>
      <c r="B715" s="3">
        <v>2024</v>
      </c>
      <c r="C715" s="3" t="s">
        <v>311</v>
      </c>
      <c r="D715" s="3">
        <v>12</v>
      </c>
      <c r="E715" s="3" t="s">
        <v>314</v>
      </c>
      <c r="F715" s="3" t="s">
        <v>298</v>
      </c>
      <c r="G715" s="36">
        <v>0</v>
      </c>
    </row>
    <row r="716" spans="1:7" x14ac:dyDescent="0.25">
      <c r="A716" s="34">
        <v>45639</v>
      </c>
      <c r="B716" s="3">
        <v>2024</v>
      </c>
      <c r="C716" s="3" t="s">
        <v>311</v>
      </c>
      <c r="D716" s="3">
        <v>12</v>
      </c>
      <c r="E716" s="3" t="s">
        <v>314</v>
      </c>
      <c r="F716" s="3" t="s">
        <v>299</v>
      </c>
      <c r="G716" s="36">
        <v>0</v>
      </c>
    </row>
    <row r="717" spans="1:7" x14ac:dyDescent="0.25">
      <c r="A717" s="34">
        <v>45640</v>
      </c>
      <c r="B717" s="3">
        <v>2024</v>
      </c>
      <c r="C717" s="3" t="s">
        <v>311</v>
      </c>
      <c r="D717" s="3">
        <v>12</v>
      </c>
      <c r="E717" s="3" t="s">
        <v>314</v>
      </c>
      <c r="F717" s="3" t="s">
        <v>300</v>
      </c>
      <c r="G717" s="35">
        <v>1</v>
      </c>
    </row>
    <row r="718" spans="1:7" x14ac:dyDescent="0.25">
      <c r="A718" s="34">
        <v>45641</v>
      </c>
      <c r="B718" s="3">
        <v>2024</v>
      </c>
      <c r="C718" s="3" t="s">
        <v>311</v>
      </c>
      <c r="D718" s="3">
        <v>12</v>
      </c>
      <c r="E718" s="3" t="s">
        <v>314</v>
      </c>
      <c r="F718" s="3" t="s">
        <v>294</v>
      </c>
      <c r="G718" s="35">
        <v>1</v>
      </c>
    </row>
    <row r="719" spans="1:7" x14ac:dyDescent="0.25">
      <c r="A719" s="34">
        <v>45642</v>
      </c>
      <c r="B719" s="3">
        <v>2024</v>
      </c>
      <c r="C719" s="3" t="s">
        <v>311</v>
      </c>
      <c r="D719" s="3">
        <v>12</v>
      </c>
      <c r="E719" s="3" t="s">
        <v>314</v>
      </c>
      <c r="F719" s="3" t="s">
        <v>295</v>
      </c>
      <c r="G719" s="36">
        <v>0</v>
      </c>
    </row>
    <row r="720" spans="1:7" x14ac:dyDescent="0.25">
      <c r="A720" s="34">
        <v>45643</v>
      </c>
      <c r="B720" s="3">
        <v>2024</v>
      </c>
      <c r="C720" s="3" t="s">
        <v>311</v>
      </c>
      <c r="D720" s="3">
        <v>12</v>
      </c>
      <c r="E720" s="3" t="s">
        <v>314</v>
      </c>
      <c r="F720" s="3" t="s">
        <v>296</v>
      </c>
      <c r="G720" s="36">
        <v>0</v>
      </c>
    </row>
    <row r="721" spans="1:7" x14ac:dyDescent="0.25">
      <c r="A721" s="34">
        <v>45644</v>
      </c>
      <c r="B721" s="3">
        <v>2024</v>
      </c>
      <c r="C721" s="3" t="s">
        <v>311</v>
      </c>
      <c r="D721" s="3">
        <v>12</v>
      </c>
      <c r="E721" s="3" t="s">
        <v>314</v>
      </c>
      <c r="F721" s="3" t="s">
        <v>297</v>
      </c>
      <c r="G721" s="36">
        <v>0</v>
      </c>
    </row>
    <row r="722" spans="1:7" x14ac:dyDescent="0.25">
      <c r="A722" s="34">
        <v>45645</v>
      </c>
      <c r="B722" s="3">
        <v>2024</v>
      </c>
      <c r="C722" s="3" t="s">
        <v>311</v>
      </c>
      <c r="D722" s="3">
        <v>12</v>
      </c>
      <c r="E722" s="3" t="s">
        <v>314</v>
      </c>
      <c r="F722" s="3" t="s">
        <v>298</v>
      </c>
      <c r="G722" s="36">
        <v>0</v>
      </c>
    </row>
    <row r="723" spans="1:7" x14ac:dyDescent="0.25">
      <c r="A723" s="34">
        <v>45646</v>
      </c>
      <c r="B723" s="3">
        <v>2024</v>
      </c>
      <c r="C723" s="3" t="s">
        <v>311</v>
      </c>
      <c r="D723" s="3">
        <v>12</v>
      </c>
      <c r="E723" s="3" t="s">
        <v>314</v>
      </c>
      <c r="F723" s="3" t="s">
        <v>299</v>
      </c>
      <c r="G723" s="36">
        <v>0</v>
      </c>
    </row>
    <row r="724" spans="1:7" x14ac:dyDescent="0.25">
      <c r="A724" s="34">
        <v>45647</v>
      </c>
      <c r="B724" s="3">
        <v>2024</v>
      </c>
      <c r="C724" s="3" t="s">
        <v>311</v>
      </c>
      <c r="D724" s="3">
        <v>12</v>
      </c>
      <c r="E724" s="3" t="s">
        <v>314</v>
      </c>
      <c r="F724" s="3" t="s">
        <v>300</v>
      </c>
      <c r="G724" s="35">
        <v>1</v>
      </c>
    </row>
    <row r="725" spans="1:7" x14ac:dyDescent="0.25">
      <c r="A725" s="34">
        <v>45648</v>
      </c>
      <c r="B725" s="3">
        <v>2024</v>
      </c>
      <c r="C725" s="3" t="s">
        <v>311</v>
      </c>
      <c r="D725" s="3">
        <v>12</v>
      </c>
      <c r="E725" s="3" t="s">
        <v>314</v>
      </c>
      <c r="F725" s="3" t="s">
        <v>294</v>
      </c>
      <c r="G725" s="35">
        <v>1</v>
      </c>
    </row>
    <row r="726" spans="1:7" x14ac:dyDescent="0.25">
      <c r="A726" s="34">
        <v>45649</v>
      </c>
      <c r="B726" s="3">
        <v>2024</v>
      </c>
      <c r="C726" s="3" t="s">
        <v>311</v>
      </c>
      <c r="D726" s="3">
        <v>12</v>
      </c>
      <c r="E726" s="3" t="s">
        <v>314</v>
      </c>
      <c r="F726" s="3" t="s">
        <v>295</v>
      </c>
      <c r="G726" s="36">
        <v>0</v>
      </c>
    </row>
    <row r="727" spans="1:7" x14ac:dyDescent="0.25">
      <c r="A727" s="34">
        <v>45650</v>
      </c>
      <c r="B727" s="3">
        <v>2024</v>
      </c>
      <c r="C727" s="3" t="s">
        <v>311</v>
      </c>
      <c r="D727" s="3">
        <v>12</v>
      </c>
      <c r="E727" s="3" t="s">
        <v>314</v>
      </c>
      <c r="F727" s="3" t="s">
        <v>296</v>
      </c>
      <c r="G727" s="36">
        <v>0</v>
      </c>
    </row>
    <row r="728" spans="1:7" x14ac:dyDescent="0.25">
      <c r="A728" s="34">
        <v>45651</v>
      </c>
      <c r="B728" s="3">
        <v>2024</v>
      </c>
      <c r="C728" s="3" t="s">
        <v>311</v>
      </c>
      <c r="D728" s="3">
        <v>12</v>
      </c>
      <c r="E728" s="3" t="s">
        <v>314</v>
      </c>
      <c r="F728" s="3" t="s">
        <v>297</v>
      </c>
      <c r="G728" s="36">
        <v>0</v>
      </c>
    </row>
    <row r="729" spans="1:7" x14ac:dyDescent="0.25">
      <c r="A729" s="34">
        <v>45652</v>
      </c>
      <c r="B729" s="3">
        <v>2024</v>
      </c>
      <c r="C729" s="3" t="s">
        <v>311</v>
      </c>
      <c r="D729" s="3">
        <v>12</v>
      </c>
      <c r="E729" s="3" t="s">
        <v>314</v>
      </c>
      <c r="F729" s="3" t="s">
        <v>298</v>
      </c>
      <c r="G729" s="36">
        <v>0</v>
      </c>
    </row>
    <row r="730" spans="1:7" x14ac:dyDescent="0.25">
      <c r="A730" s="34">
        <v>45653</v>
      </c>
      <c r="B730" s="3">
        <v>2024</v>
      </c>
      <c r="C730" s="3" t="s">
        <v>311</v>
      </c>
      <c r="D730" s="3">
        <v>12</v>
      </c>
      <c r="E730" s="3" t="s">
        <v>314</v>
      </c>
      <c r="F730" s="3" t="s">
        <v>299</v>
      </c>
      <c r="G730" s="36">
        <v>0</v>
      </c>
    </row>
    <row r="731" spans="1:7" x14ac:dyDescent="0.25">
      <c r="A731" s="34">
        <v>45654</v>
      </c>
      <c r="B731" s="3">
        <v>2024</v>
      </c>
      <c r="C731" s="3" t="s">
        <v>311</v>
      </c>
      <c r="D731" s="3">
        <v>12</v>
      </c>
      <c r="E731" s="3" t="s">
        <v>314</v>
      </c>
      <c r="F731" s="3" t="s">
        <v>300</v>
      </c>
      <c r="G731" s="35">
        <v>1</v>
      </c>
    </row>
    <row r="732" spans="1:7" x14ac:dyDescent="0.25">
      <c r="A732" s="34">
        <v>45655</v>
      </c>
      <c r="B732" s="3">
        <v>2024</v>
      </c>
      <c r="C732" s="3" t="s">
        <v>311</v>
      </c>
      <c r="D732" s="3">
        <v>12</v>
      </c>
      <c r="E732" s="3" t="s">
        <v>314</v>
      </c>
      <c r="F732" s="3" t="s">
        <v>294</v>
      </c>
      <c r="G732" s="35">
        <v>1</v>
      </c>
    </row>
    <row r="733" spans="1:7" x14ac:dyDescent="0.25">
      <c r="A733" s="34">
        <v>45656</v>
      </c>
      <c r="B733" s="3">
        <v>2024</v>
      </c>
      <c r="C733" s="3" t="s">
        <v>311</v>
      </c>
      <c r="D733" s="3">
        <v>12</v>
      </c>
      <c r="E733" s="3" t="s">
        <v>314</v>
      </c>
      <c r="F733" s="3" t="s">
        <v>295</v>
      </c>
      <c r="G733" s="36">
        <v>0</v>
      </c>
    </row>
    <row r="734" spans="1:7" x14ac:dyDescent="0.25">
      <c r="A734" s="37">
        <v>45657</v>
      </c>
      <c r="B734" s="22">
        <v>2024</v>
      </c>
      <c r="C734" s="22" t="s">
        <v>311</v>
      </c>
      <c r="D734" s="22">
        <v>12</v>
      </c>
      <c r="E734" s="22" t="s">
        <v>314</v>
      </c>
      <c r="F734" s="22" t="s">
        <v>296</v>
      </c>
      <c r="G734" s="38">
        <v>0</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workbookViewId="0"/>
  </sheetViews>
  <sheetFormatPr defaultRowHeight="15" x14ac:dyDescent="0.25"/>
  <cols>
    <col min="1" max="1" width="22" customWidth="1"/>
    <col min="2" max="2" width="70" customWidth="1"/>
    <col min="3" max="3" width="30" customWidth="1"/>
  </cols>
  <sheetData>
    <row r="1" spans="1:3" ht="27.95" customHeight="1" x14ac:dyDescent="0.25">
      <c r="A1" s="12" t="s">
        <v>315</v>
      </c>
    </row>
    <row r="3" spans="1:3" x14ac:dyDescent="0.25">
      <c r="A3" s="2" t="s">
        <v>316</v>
      </c>
      <c r="B3" s="2" t="s">
        <v>317</v>
      </c>
      <c r="C3" s="2" t="s">
        <v>318</v>
      </c>
    </row>
    <row r="4" spans="1:3" x14ac:dyDescent="0.25">
      <c r="A4" s="13" t="s">
        <v>319</v>
      </c>
      <c r="B4" s="14" t="s">
        <v>320</v>
      </c>
      <c r="C4" s="15" t="s">
        <v>321</v>
      </c>
    </row>
    <row r="5" spans="1:3" x14ac:dyDescent="0.25">
      <c r="A5" s="13" t="s">
        <v>322</v>
      </c>
      <c r="B5" s="14" t="s">
        <v>323</v>
      </c>
      <c r="C5" s="15" t="s">
        <v>324</v>
      </c>
    </row>
    <row r="6" spans="1:3" x14ac:dyDescent="0.25">
      <c r="A6" s="13" t="s">
        <v>325</v>
      </c>
      <c r="B6" s="14" t="s">
        <v>326</v>
      </c>
      <c r="C6" s="15" t="s">
        <v>327</v>
      </c>
    </row>
    <row r="7" spans="1:3" x14ac:dyDescent="0.25">
      <c r="A7" s="13" t="s">
        <v>328</v>
      </c>
      <c r="B7" s="14" t="s">
        <v>329</v>
      </c>
      <c r="C7" s="15" t="s">
        <v>330</v>
      </c>
    </row>
    <row r="8" spans="1:3" x14ac:dyDescent="0.25">
      <c r="A8" s="13" t="s">
        <v>331</v>
      </c>
      <c r="B8" s="14" t="s">
        <v>332</v>
      </c>
      <c r="C8" s="15" t="s">
        <v>333</v>
      </c>
    </row>
    <row r="9" spans="1:3" x14ac:dyDescent="0.25">
      <c r="A9" s="13" t="s">
        <v>334</v>
      </c>
      <c r="B9" s="14" t="s">
        <v>335</v>
      </c>
      <c r="C9" s="15" t="s">
        <v>336</v>
      </c>
    </row>
    <row r="10" spans="1:3" x14ac:dyDescent="0.25">
      <c r="A10" s="13" t="s">
        <v>337</v>
      </c>
      <c r="B10" s="14" t="s">
        <v>338</v>
      </c>
      <c r="C10" s="15" t="s">
        <v>339</v>
      </c>
    </row>
    <row r="11" spans="1:3" x14ac:dyDescent="0.25">
      <c r="A11" s="13" t="s">
        <v>340</v>
      </c>
      <c r="B11" s="14" t="s">
        <v>341</v>
      </c>
      <c r="C11" s="15" t="s">
        <v>342</v>
      </c>
    </row>
    <row r="12" spans="1:3" x14ac:dyDescent="0.25">
      <c r="A12" s="13" t="s">
        <v>343</v>
      </c>
      <c r="B12" s="14" t="s">
        <v>344</v>
      </c>
      <c r="C12" s="15" t="s">
        <v>345</v>
      </c>
    </row>
    <row r="14" spans="1:3" ht="35.1" customHeight="1" x14ac:dyDescent="0.25">
      <c r="A14" s="69" t="s">
        <v>346</v>
      </c>
      <c r="B14" s="70"/>
      <c r="C14" s="70"/>
    </row>
  </sheetData>
  <mergeCells count="1">
    <mergeCell ref="A14:C14"/>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3E613CD8-BBB4-4800-AF6B-52874B6D9A20}">
  <ds:schemaRefs/>
</ds:datastoreItem>
</file>

<file path=customXml/itemProps2.xml><?xml version="1.0" encoding="utf-8"?>
<ds:datastoreItem xmlns:ds="http://schemas.openxmlformats.org/officeDocument/2006/customXml" ds:itemID="{480EC4F2-FF20-4037-BFE6-BCFBABA16A1A}">
  <ds:schemaRefs/>
</ds:datastoreItem>
</file>

<file path=customXml/itemProps3.xml><?xml version="1.0" encoding="utf-8"?>
<ds:datastoreItem xmlns:ds="http://schemas.openxmlformats.org/officeDocument/2006/customXml" ds:itemID="{C2617B52-583D-4C21-B3D2-2D09B9BF1F59}">
  <ds:schemaRefs/>
</ds:datastoreItem>
</file>

<file path=customXml/itemProps4.xml><?xml version="1.0" encoding="utf-8"?>
<ds:datastoreItem xmlns:ds="http://schemas.openxmlformats.org/officeDocument/2006/customXml" ds:itemID="{82829DC9-3205-443F-8B8D-5282C9988870}">
  <ds:schemaRefs/>
</ds:datastoreItem>
</file>

<file path=customXml/itemProps5.xml><?xml version="1.0" encoding="utf-8"?>
<ds:datastoreItem xmlns:ds="http://schemas.openxmlformats.org/officeDocument/2006/customXml" ds:itemID="{650806B4-A1BB-469E-90A2-365BD3C29B29}">
  <ds:schemaRefs/>
</ds:datastoreItem>
</file>

<file path=customXml/itemProps6.xml><?xml version="1.0" encoding="utf-8"?>
<ds:datastoreItem xmlns:ds="http://schemas.openxmlformats.org/officeDocument/2006/customXml" ds:itemID="{13FDEC61-F391-40D4-8F17-1C09977718A6}">
  <ds:schemaRefs/>
</ds:datastoreItem>
</file>

<file path=customXml/itemProps7.xml><?xml version="1.0" encoding="utf-8"?>
<ds:datastoreItem xmlns:ds="http://schemas.openxmlformats.org/officeDocument/2006/customXml" ds:itemID="{2D44AA94-02A4-4F9B-82F8-579C4CD4DB92}">
  <ds:schemaRefs/>
</ds:datastoreItem>
</file>

<file path=customXml/itemProps8.xml><?xml version="1.0" encoding="utf-8"?>
<ds:datastoreItem xmlns:ds="http://schemas.openxmlformats.org/officeDocument/2006/customXml" ds:itemID="{54BE33B7-77E6-4B12-A1E1-27465A9DB2BF}">
  <ds:schemaRefs/>
</ds:datastoreItem>
</file>

<file path=customXml/itemProps9.xml><?xml version="1.0" encoding="utf-8"?>
<ds:datastoreItem xmlns:ds="http://schemas.openxmlformats.org/officeDocument/2006/customXml" ds:itemID="{1C5DDAAB-B563-4B40-A2BA-6B14D3D4632F}">
  <ds:schemaRefs/>
</ds:datastoreItem>
</file>

<file path=customXml/itemProps10.xml><?xml version="1.0" encoding="utf-8"?>
<ds:datastoreItem xmlns:ds="http://schemas.openxmlformats.org/officeDocument/2006/customXml" ds:itemID="{67A08D06-75B9-45F7-9A88-4C7A8B9DA50E}">
  <ds:schemaRefs/>
</ds:datastoreItem>
</file>

<file path=customXml/itemProps11.xml><?xml version="1.0" encoding="utf-8"?>
<ds:datastoreItem xmlns:ds="http://schemas.openxmlformats.org/officeDocument/2006/customXml" ds:itemID="{D80551AC-C063-4B3C-BF48-E38410FA245B}">
  <ds:schemaRefs/>
</ds:datastoreItem>
</file>

<file path=customXml/itemProps12.xml><?xml version="1.0" encoding="utf-8"?>
<ds:datastoreItem xmlns:ds="http://schemas.openxmlformats.org/officeDocument/2006/customXml" ds:itemID="{8E1F34D5-FD8F-407B-8419-52F7659CFB0A}">
  <ds:schemaRefs/>
</ds:datastoreItem>
</file>

<file path=customXml/itemProps13.xml><?xml version="1.0" encoding="utf-8"?>
<ds:datastoreItem xmlns:ds="http://schemas.openxmlformats.org/officeDocument/2006/customXml" ds:itemID="{A2C5C678-7B4A-4879-BD80-35EC0906B75E}">
  <ds:schemaRefs/>
</ds:datastoreItem>
</file>

<file path=customXml/itemProps14.xml><?xml version="1.0" encoding="utf-8"?>
<ds:datastoreItem xmlns:ds="http://schemas.openxmlformats.org/officeDocument/2006/customXml" ds:itemID="{149E9DB8-A335-4B22-82AF-CBFDF22BBB00}">
  <ds:schemaRefs/>
</ds:datastoreItem>
</file>

<file path=customXml/itemProps15.xml><?xml version="1.0" encoding="utf-8"?>
<ds:datastoreItem xmlns:ds="http://schemas.openxmlformats.org/officeDocument/2006/customXml" ds:itemID="{8BAE4CC6-6DF5-438F-B132-136D74666C10}">
  <ds:schemaRefs/>
</ds:datastoreItem>
</file>

<file path=customXml/itemProps16.xml><?xml version="1.0" encoding="utf-8"?>
<ds:datastoreItem xmlns:ds="http://schemas.openxmlformats.org/officeDocument/2006/customXml" ds:itemID="{34F58303-2B4E-473E-AA7E-243A22A7B1A8}">
  <ds:schemaRefs/>
</ds:datastoreItem>
</file>

<file path=customXml/itemProps17.xml><?xml version="1.0" encoding="utf-8"?>
<ds:datastoreItem xmlns:ds="http://schemas.openxmlformats.org/officeDocument/2006/customXml" ds:itemID="{2B1CF99B-279F-4DE9-AA5F-2657494BAA0F}">
  <ds:schemaRefs/>
</ds:datastoreItem>
</file>

<file path=customXml/itemProps18.xml><?xml version="1.0" encoding="utf-8"?>
<ds:datastoreItem xmlns:ds="http://schemas.openxmlformats.org/officeDocument/2006/customXml" ds:itemID="{3CC0AD89-85C7-4B69-81F6-7B4AAF107D31}">
  <ds:schemaRefs/>
</ds:datastoreItem>
</file>

<file path=customXml/itemProps19.xml><?xml version="1.0" encoding="utf-8"?>
<ds:datastoreItem xmlns:ds="http://schemas.openxmlformats.org/officeDocument/2006/customXml" ds:itemID="{FCA2E3CC-4064-4102-A374-1CB9BFF77C58}">
  <ds:schemaRefs/>
</ds:datastoreItem>
</file>

<file path=customXml/itemProps20.xml><?xml version="1.0" encoding="utf-8"?>
<ds:datastoreItem xmlns:ds="http://schemas.openxmlformats.org/officeDocument/2006/customXml" ds:itemID="{0EE6A284-F0D3-4DB7-9504-09EEF5CEFA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Pivot</vt:lpstr>
      <vt:lpstr>Dashboard</vt:lpstr>
      <vt:lpstr>Sales</vt:lpstr>
      <vt:lpstr>Products</vt:lpstr>
      <vt:lpstr>Customers</vt:lpstr>
      <vt:lpstr>DimDate</vt:lpstr>
      <vt:lpstr>DAX Measures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Munjurul Alam Piash</cp:lastModifiedBy>
  <dcterms:created xsi:type="dcterms:W3CDTF">2026-05-30T14:18:39Z</dcterms:created>
  <dcterms:modified xsi:type="dcterms:W3CDTF">2026-06-08T10:17:20Z</dcterms:modified>
</cp:coreProperties>
</file>