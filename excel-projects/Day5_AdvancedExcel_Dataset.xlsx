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ata analytics\Week 1\Day 5\"/>
    </mc:Choice>
  </mc:AlternateContent>
  <xr:revisionPtr revIDLastSave="0" documentId="13_ncr:1_{B7C7B9BB-1035-4F14-BD0E-425072CD5C0F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Dynamic Arrays" sheetId="1" r:id="rId1"/>
    <sheet name="XLOOKUP Advanced" sheetId="2" r:id="rId2"/>
    <sheet name="LAMBDA + LET" sheetId="3" r:id="rId3"/>
    <sheet name="Power Query Guide" sheetId="4" r:id="rId4"/>
  </sheets>
  <definedNames>
    <definedName name="MONTHLY_EMI">LAMBDA(P, annual_rate, n,     _xlfn.LET(_xlpm.r, annual_rate/12/100, P * (_xlpm.r * (1+_xlpm.r)^n) / ((1+_xlpm.r)^n - 1)) 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B14" i="3" a="1"/>
  <c r="B14" i="3" s="1"/>
  <c r="D15" i="3"/>
  <c r="B9" i="3"/>
  <c r="C23" i="2" a="1"/>
  <c r="C23" i="2" s="1"/>
  <c r="C22" i="2"/>
  <c r="C21" i="2"/>
  <c r="C20" i="2" a="1"/>
  <c r="C20" i="2" s="1"/>
  <c r="C19" i="2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4" i="1" a="1"/>
  <c r="J4" i="1" s="1"/>
  <c r="J5" i="1" a="1"/>
  <c r="J5" i="1" s="1"/>
  <c r="B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E681A9-AA00-4726-9E94-A56B174D1CA5}" keepAlive="1" name="Query - example" description="Connection to the 'example' query in the workbook." type="5" refreshedVersion="0" background="1">
    <dbPr connection="Provider=Microsoft.Mashup.OleDb.1;Data Source=$Workbook$;Location=example;Extended Properties=&quot;&quot;" command="SELECT * FROM [exampl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<sst xmlns="http://schemas.openxmlformats.org/spreadsheetml/2006/main" count="323" uniqueCount="156">
  <si>
    <t>⚡ Dynamic Arrays Practice | 🟡Yellow=formula দাও | 🟢Green=already আছে</t>
  </si>
  <si>
    <t>#</t>
  </si>
  <si>
    <t>Date</t>
  </si>
  <si>
    <t>Region</t>
  </si>
  <si>
    <t>Category</t>
  </si>
  <si>
    <t>Product</t>
  </si>
  <si>
    <t>Qty</t>
  </si>
  <si>
    <t>Sales (৳)</t>
  </si>
  <si>
    <t>📊 Dynamic Array Tasks</t>
  </si>
  <si>
    <t>12-Jun-24</t>
  </si>
  <si>
    <t>Dhaka</t>
  </si>
  <si>
    <t>Electronics</t>
  </si>
  <si>
    <t>Chair</t>
  </si>
  <si>
    <t>1. FILTER: Dhaka rows</t>
  </si>
  <si>
    <t>05-Feb-24</t>
  </si>
  <si>
    <t>Stationery</t>
  </si>
  <si>
    <t>Phone</t>
  </si>
  <si>
    <t>2. FILTER: Dhaka AND Sales&gt;10000</t>
  </si>
  <si>
    <t>09-Jan-24</t>
  </si>
  <si>
    <t>Rice</t>
  </si>
  <si>
    <t>3. SORT: Sales Z→A</t>
  </si>
  <si>
    <t>03-Jun-24</t>
  </si>
  <si>
    <t>4. UNIQUE: Distinct regions</t>
  </si>
  <si>
    <t>26-Feb-24</t>
  </si>
  <si>
    <t>Rajshahi</t>
  </si>
  <si>
    <t>5. SORTBY: Region A→Z, Sales Z→A</t>
  </si>
  <si>
    <t>27-Jun-24</t>
  </si>
  <si>
    <t>Food</t>
  </si>
  <si>
    <t>6. SEQUENCE: 1 থেকে 10</t>
  </si>
  <si>
    <t>27-Mar-24</t>
  </si>
  <si>
    <t>Oil</t>
  </si>
  <si>
    <t>7. UNIQUE categories count</t>
  </si>
  <si>
    <t>29-Mar-24</t>
  </si>
  <si>
    <t>Khulna</t>
  </si>
  <si>
    <t>Laptop</t>
  </si>
  <si>
    <t>8. Electronics OR Food filter</t>
  </si>
  <si>
    <t>01-Feb-24</t>
  </si>
  <si>
    <t>Pants</t>
  </si>
  <si>
    <t>27-May-24</t>
  </si>
  <si>
    <t>CTG</t>
  </si>
  <si>
    <t>21-Jan-24</t>
  </si>
  <si>
    <t>11-Jun-24</t>
  </si>
  <si>
    <t>Sylhet</t>
  </si>
  <si>
    <t>Clothing</t>
  </si>
  <si>
    <t>Pen</t>
  </si>
  <si>
    <t>20-Jun-24</t>
  </si>
  <si>
    <t>Notebook</t>
  </si>
  <si>
    <t>03-Mar-24</t>
  </si>
  <si>
    <t>Furniture</t>
  </si>
  <si>
    <t>12-Apr-24</t>
  </si>
  <si>
    <t>24-Feb-24</t>
  </si>
  <si>
    <t>Desk</t>
  </si>
  <si>
    <t>29-May-24</t>
  </si>
  <si>
    <t>06-May-24</t>
  </si>
  <si>
    <t>23-Jun-24</t>
  </si>
  <si>
    <t>01-Jun-24</t>
  </si>
  <si>
    <t>16-Mar-24</t>
  </si>
  <si>
    <t>08-May-24</t>
  </si>
  <si>
    <t>04-Jun-24</t>
  </si>
  <si>
    <t>15-May-24</t>
  </si>
  <si>
    <t>29-Jan-24</t>
  </si>
  <si>
    <t>25-May-24</t>
  </si>
  <si>
    <t>02-Feb-24</t>
  </si>
  <si>
    <t>20-Mar-24</t>
  </si>
  <si>
    <t>31-Jan-24</t>
  </si>
  <si>
    <t>30-May-24</t>
  </si>
  <si>
    <t>19-Jan-24</t>
  </si>
  <si>
    <t>18-May-24</t>
  </si>
  <si>
    <t>01-May-24</t>
  </si>
  <si>
    <t>31-Mar-24</t>
  </si>
  <si>
    <t>16-Jan-24</t>
  </si>
  <si>
    <t>18-Feb-24</t>
  </si>
  <si>
    <t>Shirt</t>
  </si>
  <si>
    <t>12-Mar-24</t>
  </si>
  <si>
    <t>26-Jan-24</t>
  </si>
  <si>
    <t>12-Feb-24</t>
  </si>
  <si>
    <t>26-Apr-24</t>
  </si>
  <si>
    <t>17-Feb-24</t>
  </si>
  <si>
    <t>🔍 XLOOKUP Advanced | 🟡Yellow=formula দাও | Multiple Return · Approximate · 2D</t>
  </si>
  <si>
    <t>📌 Product Table (Lookup Source)</t>
  </si>
  <si>
    <t>📌 Grade Table (Approximate)</t>
  </si>
  <si>
    <t>📌 2D Sales Table</t>
  </si>
  <si>
    <t>Code</t>
  </si>
  <si>
    <t>Price (৳)</t>
  </si>
  <si>
    <t>Stock</t>
  </si>
  <si>
    <t>Min Score</t>
  </si>
  <si>
    <t>Grade</t>
  </si>
  <si>
    <t>Q1</t>
  </si>
  <si>
    <t>Q2</t>
  </si>
  <si>
    <t>Q3</t>
  </si>
  <si>
    <t>Q4</t>
  </si>
  <si>
    <t>P001</t>
  </si>
  <si>
    <t>F</t>
  </si>
  <si>
    <t>P002</t>
  </si>
  <si>
    <t>D</t>
  </si>
  <si>
    <t>P003</t>
  </si>
  <si>
    <t>C</t>
  </si>
  <si>
    <t>P004</t>
  </si>
  <si>
    <t>B</t>
  </si>
  <si>
    <t>P005</t>
  </si>
  <si>
    <t>Rice (50kg)</t>
  </si>
  <si>
    <t>A</t>
  </si>
  <si>
    <t>P006</t>
  </si>
  <si>
    <t>Oil (5L)</t>
  </si>
  <si>
    <t>P007</t>
  </si>
  <si>
    <t>P008</t>
  </si>
  <si>
    <t>P009</t>
  </si>
  <si>
    <t>Pen (12pc)</t>
  </si>
  <si>
    <t>P010</t>
  </si>
  <si>
    <t>🎯 XLOOKUP Tasks</t>
  </si>
  <si>
    <t>Task</t>
  </si>
  <si>
    <t>Lookup Value</t>
  </si>
  <si>
    <t>1. Basic XLOOKUP</t>
  </si>
  <si>
    <t>2. Multiple return (Name+Cat+Price)</t>
  </si>
  <si>
    <t>3. Approximate match grade</t>
  </si>
  <si>
    <t>85</t>
  </si>
  <si>
    <t>4. Reverse search (last match)</t>
  </si>
  <si>
    <t>5. 2D: Dhaka Q2 sales</t>
  </si>
  <si>
    <t>λ LAMBDA + LET | 🟡Yellow=formula দাও | Custom Functions</t>
  </si>
  <si>
    <t>📌 INPUTS</t>
  </si>
  <si>
    <t>Loan Amount (৳)</t>
  </si>
  <si>
    <t>Annual Rate</t>
  </si>
  <si>
    <t>Tenure (Years)</t>
  </si>
  <si>
    <t>🎯 LET Tasks</t>
  </si>
  <si>
    <t>Task 1: LET — readable EMI formula</t>
  </si>
  <si>
    <t>Task 2: LET — NPV with named vars</t>
  </si>
  <si>
    <t>🎯 LAMBDA Tasks</t>
  </si>
  <si>
    <t>Task 3: LAMBDA — MONTHLY_EMI function</t>
  </si>
  <si>
    <t>Ctrl+F3 → New Name: MONTHLY_EMI</t>
  </si>
  <si>
    <t>Formula:</t>
  </si>
  <si>
    <t>Test it:</t>
  </si>
  <si>
    <t>Task 4: LAMBDA — BREAK_EVEN function</t>
  </si>
  <si>
    <t>Name: BREAK_EVEN</t>
  </si>
  <si>
    <t>Test:</t>
  </si>
  <si>
    <t>🔧 Power Query — Step by Step Guide | CSV file আলাদাভাবে দেওয়া আছে</t>
  </si>
  <si>
    <t>Step 1: CSV Load</t>
  </si>
  <si>
    <t>Data Tab → Get Data → From File → From Text/CSV → file select → Load (Transform Data বাটনে click করো)</t>
  </si>
  <si>
    <t>Step 2: Type Change</t>
  </si>
  <si>
    <t>Date columns: right-click column header → Change Type → Date। Text columns verify করো।</t>
  </si>
  <si>
    <t>Step 3: Remove Duplicates</t>
  </si>
  <si>
    <t>Home → Remove Rows → Remove Duplicates। PO_Number column-এ duplicate থাকলে বাদ দাও।</t>
  </si>
  <si>
    <t>Step 4: Filter Rows</t>
  </si>
  <si>
    <t>Status column dropdown → Uncheck 'Cancelled' → OK। শুধু Active rows রাখো।</t>
  </si>
  <si>
    <t>Step 5: Fill Down</t>
  </si>
  <si>
    <t>Blank cells আছে এমন column select → right-click → Fill → Down</t>
  </si>
  <si>
    <t>Step 6: Custom Column</t>
  </si>
  <si>
    <t>Add Column → Custom Column:
Name: Approval_Days
Formula: = [Approval_Date] - [Request_Date]</t>
  </si>
  <si>
    <t>Step 7: Another Custom Column</t>
  </si>
  <si>
    <t>Add Column → Custom Column:
Name: Delay_Flag
Formula: = if [Approval_Days] &gt; 7 then "Late" else "On Time"</t>
  </si>
  <si>
    <t>Step 8: Load to Excel</t>
  </si>
  <si>
    <t>Home → Close &amp; Load → Load to Sheet। একটা নতুন sheet-এ data আসবে।</t>
  </si>
  <si>
    <t>Step 9: Refresh Test</t>
  </si>
  <si>
    <t>CSV file-এ ১ row add করো → Data Tab → Refresh All → automatically update হবে।</t>
  </si>
  <si>
    <t>💡 Applied Steps panel (left side) — প্রতিটা step সেখানে save হয়। Delete করলে সেই transformation চলে যাবে।</t>
  </si>
  <si>
    <t>Formula</t>
  </si>
  <si>
    <t xml:space="preserve">Formula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</si>
</sst>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1E3A8A"/>
      <name val="Arial"/>
    </font>
    <font>
      <b/>
      <sz val="11"/>
      <color rgb="FFFFFFFF"/>
      <name val="Arial"/>
    </font>
    <font>
      <sz val="11"/>
      <color rgb="FF111827"/>
      <name val="Arial"/>
    </font>
    <font>
      <b/>
      <sz val="11"/>
      <color rgb="FF111827"/>
      <name val="Arial"/>
    </font>
    <font>
      <i/>
      <sz val="10"/>
      <color rgb="FF7C3AED"/>
      <name val="Arial"/>
    </font>
    <font>
      <b/>
      <sz val="11"/>
      <color rgb="FF065F46"/>
      <name val="Arial"/>
    </font>
    <font>
      <b/>
      <sz val="11"/>
      <color rgb="FF4C1D95"/>
      <name val="Arial"/>
    </font>
    <font>
      <i/>
      <sz val="10"/>
      <color rgb="FF374151"/>
      <name val="Arial"/>
    </font>
    <font>
      <b/>
      <sz val="11"/>
      <color rgb="FF92400E"/>
      <name val="Arial"/>
    </font>
    <font>
      <sz val="10"/>
      <color rgb="FF111827"/>
      <name val="Arial"/>
    </font>
    <font>
      <i/>
      <sz val="10"/>
      <color rgb="FF065F46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5F3FF"/>
      </patternFill>
    </fill>
    <fill>
      <patternFill patternType="solid">
        <fgColor rgb="FFECFDF5"/>
      </patternFill>
    </fill>
    <fill>
      <patternFill patternType="solid">
        <fgColor rgb="FFFFFFFF"/>
      </patternFill>
    </fill>
    <fill>
      <patternFill patternType="solid">
        <fgColor rgb="FF92400E"/>
      </patternFill>
    </fill>
    <fill>
      <patternFill patternType="solid">
        <fgColor rgb="FF065F46"/>
      </patternFill>
    </fill>
    <fill>
      <patternFill patternType="solid">
        <fgColor rgb="FF7C3AED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3" fontId="3" fillId="8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left" vertical="center" wrapText="1"/>
    </xf>
    <xf numFmtId="3" fontId="3" fillId="5" borderId="1" xfId="0" applyNumberFormat="1" applyFont="1" applyFill="1" applyBorder="1" applyAlignment="1">
      <alignment horizontal="left" vertical="center"/>
    </xf>
    <xf numFmtId="10" fontId="3" fillId="5" borderId="1" xfId="0" applyNumberFormat="1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9" fillId="12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6</v>
    <v>8</v>
    <v>11</v>
    <v>1</v>
  </rv>
  <rv s="0">
    <v>5</v>
    <v>8</v>
    <v>11</v>
    <v>1</v>
  </rv>
  <rv s="0">
    <v>6</v>
    <v>8</v>
    <v>49</v>
    <v>1</v>
  </rv>
  <rv s="0">
    <v>0</v>
    <v>8</v>
    <v>4</v>
    <v>1</v>
  </rv>
  <rv s="0">
    <v>0</v>
    <v>8</v>
    <v>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topLeftCell="B1" workbookViewId="0">
      <selection activeCell="J4" sqref="J4"/>
    </sheetView>
  </sheetViews>
  <sheetFormatPr defaultRowHeight="15" x14ac:dyDescent="0.25"/>
  <cols>
    <col min="1" max="1" width="5" customWidth="1"/>
    <col min="2" max="2" width="12" customWidth="1"/>
    <col min="3" max="3" width="10" customWidth="1"/>
    <col min="4" max="4" width="13" customWidth="1"/>
    <col min="5" max="5" width="12" customWidth="1"/>
    <col min="6" max="6" width="6" customWidth="1"/>
    <col min="7" max="7" width="12" customWidth="1"/>
    <col min="8" max="8" width="2" customWidth="1"/>
    <col min="9" max="9" width="38.5703125" bestFit="1" customWidth="1"/>
    <col min="10" max="10" width="22.5703125" bestFit="1" customWidth="1"/>
    <col min="11" max="11" width="45" customWidth="1"/>
  </cols>
  <sheetData>
    <row r="1" spans="1:16" ht="27.95" customHeight="1" x14ac:dyDescent="0.25">
      <c r="A1" s="1" t="s">
        <v>0</v>
      </c>
    </row>
    <row r="3" spans="1:1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I3" s="3" t="s">
        <v>8</v>
      </c>
      <c r="J3" s="2" t="s">
        <v>154</v>
      </c>
    </row>
    <row r="4" spans="1:16" x14ac:dyDescent="0.25">
      <c r="A4" s="4">
        <v>1</v>
      </c>
      <c r="B4" s="5" t="s">
        <v>9</v>
      </c>
      <c r="C4" s="5" t="s">
        <v>10</v>
      </c>
      <c r="D4" s="5" t="s">
        <v>11</v>
      </c>
      <c r="E4" s="5" t="s">
        <v>12</v>
      </c>
      <c r="F4" s="4">
        <v>8</v>
      </c>
      <c r="G4" s="6">
        <v>9600</v>
      </c>
      <c r="I4" s="7" t="s">
        <v>13</v>
      </c>
      <c r="J4" s="8" t="e" cm="1" vm="1">
        <f t="array" aca="1" ref="J4" ca="1">_xlfn._xlws.FILTER(A4:G53,C4:C53="Dhaka","No data")</f>
        <v>#VALUE!</v>
      </c>
    </row>
    <row r="5" spans="1:16" x14ac:dyDescent="0.25">
      <c r="A5" s="4">
        <v>2</v>
      </c>
      <c r="B5" s="5" t="s">
        <v>14</v>
      </c>
      <c r="C5" s="5" t="s">
        <v>10</v>
      </c>
      <c r="D5" s="5" t="s">
        <v>15</v>
      </c>
      <c r="E5" s="5" t="s">
        <v>16</v>
      </c>
      <c r="F5" s="4">
        <v>19</v>
      </c>
      <c r="G5" s="6">
        <v>152000</v>
      </c>
      <c r="I5" s="7" t="s">
        <v>17</v>
      </c>
      <c r="J5" s="8" t="e" cm="1" vm="2">
        <f t="array" aca="1" ref="J5" ca="1">_xlfn._xlws.FILTER(B4:G53,(C4:C53="Dhaka")*(G4:G53&gt;1000))</f>
        <v>#VALUE!</v>
      </c>
    </row>
    <row r="6" spans="1:16" x14ac:dyDescent="0.25">
      <c r="A6" s="4">
        <v>3</v>
      </c>
      <c r="B6" s="5" t="s">
        <v>18</v>
      </c>
      <c r="C6" s="5" t="s">
        <v>10</v>
      </c>
      <c r="D6" s="5" t="s">
        <v>11</v>
      </c>
      <c r="E6" s="5" t="s">
        <v>19</v>
      </c>
      <c r="F6" s="4">
        <v>8</v>
      </c>
      <c r="G6" s="6">
        <v>144000</v>
      </c>
      <c r="I6" s="7" t="s">
        <v>20</v>
      </c>
      <c r="J6" s="8" t="e" cm="1" vm="3">
        <f t="array" aca="1" ref="J6" ca="1">_xlfn._xlws.SORT(A4:G53,7,-1)</f>
        <v>#VALUE!</v>
      </c>
    </row>
    <row r="7" spans="1:16" x14ac:dyDescent="0.25">
      <c r="A7" s="4">
        <v>4</v>
      </c>
      <c r="B7" s="5" t="s">
        <v>21</v>
      </c>
      <c r="C7" s="5" t="s">
        <v>10</v>
      </c>
      <c r="D7" s="5" t="s">
        <v>15</v>
      </c>
      <c r="E7" s="5" t="s">
        <v>19</v>
      </c>
      <c r="F7" s="4">
        <v>18</v>
      </c>
      <c r="G7" s="6">
        <v>144000</v>
      </c>
      <c r="I7" s="7" t="s">
        <v>22</v>
      </c>
      <c r="J7" s="8" t="e" cm="1" vm="4">
        <f t="array" aca="1" ref="J7" ca="1">_xlfn.UNIQUE(C4:C53)</f>
        <v>#VALUE!</v>
      </c>
    </row>
    <row r="8" spans="1:16" x14ac:dyDescent="0.25">
      <c r="A8" s="4">
        <v>5</v>
      </c>
      <c r="B8" s="5" t="s">
        <v>23</v>
      </c>
      <c r="C8" s="5" t="s">
        <v>24</v>
      </c>
      <c r="D8" s="5" t="s">
        <v>15</v>
      </c>
      <c r="E8" s="5" t="s">
        <v>12</v>
      </c>
      <c r="F8" s="4">
        <v>1</v>
      </c>
      <c r="G8" s="6">
        <v>800</v>
      </c>
      <c r="I8" s="7" t="s">
        <v>25</v>
      </c>
      <c r="J8" s="8" t="e" cm="1" vm="3">
        <f t="array" aca="1" ref="J8" ca="1">_xlfn.SORTBY(A4:G53,C4:C53,1,G4:G53,-1)</f>
        <v>#VALUE!</v>
      </c>
    </row>
    <row r="9" spans="1:16" x14ac:dyDescent="0.25">
      <c r="A9" s="4">
        <v>6</v>
      </c>
      <c r="B9" s="5" t="s">
        <v>26</v>
      </c>
      <c r="C9" s="5" t="s">
        <v>24</v>
      </c>
      <c r="D9" s="5" t="s">
        <v>27</v>
      </c>
      <c r="E9" s="5" t="s">
        <v>12</v>
      </c>
      <c r="F9" s="4">
        <v>5</v>
      </c>
      <c r="G9" s="6">
        <v>6000</v>
      </c>
      <c r="I9" s="7" t="s">
        <v>28</v>
      </c>
      <c r="J9" s="8" t="e" cm="1" vm="5">
        <f t="array" aca="1" ref="J9" ca="1">_xlfn.SEQUENCE(10)</f>
        <v>#VALUE!</v>
      </c>
    </row>
    <row r="10" spans="1:16" x14ac:dyDescent="0.25">
      <c r="A10" s="4">
        <v>7</v>
      </c>
      <c r="B10" s="5" t="s">
        <v>29</v>
      </c>
      <c r="C10" s="5" t="s">
        <v>10</v>
      </c>
      <c r="D10" s="5" t="s">
        <v>11</v>
      </c>
      <c r="E10" s="5" t="s">
        <v>30</v>
      </c>
      <c r="F10" s="4">
        <v>4</v>
      </c>
      <c r="G10" s="6">
        <v>20000</v>
      </c>
      <c r="I10" s="7" t="s">
        <v>31</v>
      </c>
      <c r="J10" s="8" t="e" cm="1" vm="4">
        <f t="array" aca="1" ref="J10" ca="1">_xlfn.UNIQUE(D4:D53)</f>
        <v>#VALUE!</v>
      </c>
    </row>
    <row r="11" spans="1:16" x14ac:dyDescent="0.25">
      <c r="A11" s="4">
        <v>8</v>
      </c>
      <c r="B11" s="5" t="s">
        <v>32</v>
      </c>
      <c r="C11" s="5" t="s">
        <v>33</v>
      </c>
      <c r="D11" s="5" t="s">
        <v>27</v>
      </c>
      <c r="E11" s="5" t="s">
        <v>34</v>
      </c>
      <c r="F11" s="4">
        <v>15</v>
      </c>
      <c r="G11" s="6">
        <v>270000</v>
      </c>
      <c r="I11" s="7" t="s">
        <v>35</v>
      </c>
      <c r="J11" s="8" cm="1">
        <f t="array" ref="J11:P28">_xlfn._xlws.FILTER(A4:G53,(D4:D53="Electronics")+(D4:D53="Food"))</f>
        <v>1</v>
      </c>
      <c r="K11" t="str">
        <v>12-Jun-24</v>
      </c>
      <c r="L11" t="str">
        <v>Dhaka</v>
      </c>
      <c r="M11" t="str">
        <v>Electronics</v>
      </c>
      <c r="N11" t="str">
        <v>Chair</v>
      </c>
      <c r="O11">
        <v>8</v>
      </c>
      <c r="P11">
        <v>9600</v>
      </c>
    </row>
    <row r="12" spans="1:16" x14ac:dyDescent="0.25">
      <c r="A12" s="4">
        <v>9</v>
      </c>
      <c r="B12" s="5" t="s">
        <v>36</v>
      </c>
      <c r="C12" s="5" t="s">
        <v>24</v>
      </c>
      <c r="D12" s="5" t="s">
        <v>11</v>
      </c>
      <c r="E12" s="5" t="s">
        <v>37</v>
      </c>
      <c r="F12" s="4">
        <v>10</v>
      </c>
      <c r="G12" s="6">
        <v>50000</v>
      </c>
      <c r="J12">
        <v>3</v>
      </c>
      <c r="K12" t="str">
        <v>09-Jan-24</v>
      </c>
      <c r="L12" t="str">
        <v>Dhaka</v>
      </c>
      <c r="M12" t="str">
        <v>Electronics</v>
      </c>
      <c r="N12" t="str">
        <v>Rice</v>
      </c>
      <c r="O12">
        <v>8</v>
      </c>
      <c r="P12">
        <v>144000</v>
      </c>
    </row>
    <row r="13" spans="1:16" x14ac:dyDescent="0.25">
      <c r="A13" s="4">
        <v>10</v>
      </c>
      <c r="B13" s="5" t="s">
        <v>38</v>
      </c>
      <c r="C13" s="5" t="s">
        <v>39</v>
      </c>
      <c r="D13" s="5" t="s">
        <v>11</v>
      </c>
      <c r="E13" s="5" t="s">
        <v>34</v>
      </c>
      <c r="F13" s="4">
        <v>8</v>
      </c>
      <c r="G13" s="6">
        <v>20000</v>
      </c>
      <c r="J13">
        <v>6</v>
      </c>
      <c r="K13" t="str">
        <v>27-Jun-24</v>
      </c>
      <c r="L13" t="str">
        <v>Rajshahi</v>
      </c>
      <c r="M13" t="str">
        <v>Food</v>
      </c>
      <c r="N13" t="str">
        <v>Chair</v>
      </c>
      <c r="O13">
        <v>5</v>
      </c>
      <c r="P13">
        <v>6000</v>
      </c>
    </row>
    <row r="14" spans="1:16" x14ac:dyDescent="0.25">
      <c r="A14" s="4">
        <v>11</v>
      </c>
      <c r="B14" s="5" t="s">
        <v>40</v>
      </c>
      <c r="C14" s="5" t="s">
        <v>39</v>
      </c>
      <c r="D14" s="5" t="s">
        <v>11</v>
      </c>
      <c r="E14" s="5" t="s">
        <v>30</v>
      </c>
      <c r="F14" s="4">
        <v>9</v>
      </c>
      <c r="G14" s="6">
        <v>108000</v>
      </c>
      <c r="J14">
        <v>7</v>
      </c>
      <c r="K14" t="str">
        <v>27-Mar-24</v>
      </c>
      <c r="L14" t="str">
        <v>Dhaka</v>
      </c>
      <c r="M14" t="str">
        <v>Electronics</v>
      </c>
      <c r="N14" t="str">
        <v>Oil</v>
      </c>
      <c r="O14">
        <v>4</v>
      </c>
      <c r="P14">
        <v>20000</v>
      </c>
    </row>
    <row r="15" spans="1:16" x14ac:dyDescent="0.25">
      <c r="A15" s="4">
        <v>12</v>
      </c>
      <c r="B15" s="5" t="s">
        <v>41</v>
      </c>
      <c r="C15" s="5" t="s">
        <v>42</v>
      </c>
      <c r="D15" s="5" t="s">
        <v>43</v>
      </c>
      <c r="E15" s="5" t="s">
        <v>44</v>
      </c>
      <c r="F15" s="4">
        <v>12</v>
      </c>
      <c r="G15" s="6">
        <v>14400</v>
      </c>
      <c r="J15">
        <v>8</v>
      </c>
      <c r="K15" t="str">
        <v>29-Mar-24</v>
      </c>
      <c r="L15" t="str">
        <v>Khulna</v>
      </c>
      <c r="M15" t="str">
        <v>Food</v>
      </c>
      <c r="N15" t="str">
        <v>Laptop</v>
      </c>
      <c r="O15">
        <v>15</v>
      </c>
      <c r="P15">
        <v>270000</v>
      </c>
    </row>
    <row r="16" spans="1:16" x14ac:dyDescent="0.25">
      <c r="A16" s="4">
        <v>13</v>
      </c>
      <c r="B16" s="5" t="s">
        <v>45</v>
      </c>
      <c r="C16" s="5" t="s">
        <v>42</v>
      </c>
      <c r="D16" s="5" t="s">
        <v>11</v>
      </c>
      <c r="E16" s="5" t="s">
        <v>46</v>
      </c>
      <c r="F16" s="4">
        <v>6</v>
      </c>
      <c r="G16" s="6">
        <v>108000</v>
      </c>
      <c r="J16">
        <v>9</v>
      </c>
      <c r="K16" t="str">
        <v>01-Feb-24</v>
      </c>
      <c r="L16" t="str">
        <v>Rajshahi</v>
      </c>
      <c r="M16" t="str">
        <v>Electronics</v>
      </c>
      <c r="N16" t="str">
        <v>Pants</v>
      </c>
      <c r="O16">
        <v>10</v>
      </c>
      <c r="P16">
        <v>50000</v>
      </c>
    </row>
    <row r="17" spans="1:16" x14ac:dyDescent="0.25">
      <c r="A17" s="4">
        <v>14</v>
      </c>
      <c r="B17" s="5" t="s">
        <v>47</v>
      </c>
      <c r="C17" s="5" t="s">
        <v>39</v>
      </c>
      <c r="D17" s="5" t="s">
        <v>48</v>
      </c>
      <c r="E17" s="5" t="s">
        <v>30</v>
      </c>
      <c r="F17" s="4">
        <v>9</v>
      </c>
      <c r="G17" s="6">
        <v>162000</v>
      </c>
      <c r="J17">
        <v>10</v>
      </c>
      <c r="K17" t="str">
        <v>27-May-24</v>
      </c>
      <c r="L17" t="str">
        <v>CTG</v>
      </c>
      <c r="M17" t="str">
        <v>Electronics</v>
      </c>
      <c r="N17" t="str">
        <v>Laptop</v>
      </c>
      <c r="O17">
        <v>8</v>
      </c>
      <c r="P17">
        <v>20000</v>
      </c>
    </row>
    <row r="18" spans="1:16" x14ac:dyDescent="0.25">
      <c r="A18" s="4">
        <v>15</v>
      </c>
      <c r="B18" s="5" t="s">
        <v>23</v>
      </c>
      <c r="C18" s="5" t="s">
        <v>42</v>
      </c>
      <c r="D18" s="5" t="s">
        <v>11</v>
      </c>
      <c r="E18" s="5" t="s">
        <v>19</v>
      </c>
      <c r="F18" s="4">
        <v>2</v>
      </c>
      <c r="G18" s="6">
        <v>10000</v>
      </c>
      <c r="J18">
        <v>11</v>
      </c>
      <c r="K18" t="str">
        <v>21-Jan-24</v>
      </c>
      <c r="L18" t="str">
        <v>CTG</v>
      </c>
      <c r="M18" t="str">
        <v>Electronics</v>
      </c>
      <c r="N18" t="str">
        <v>Oil</v>
      </c>
      <c r="O18">
        <v>9</v>
      </c>
      <c r="P18">
        <v>108000</v>
      </c>
    </row>
    <row r="19" spans="1:16" x14ac:dyDescent="0.25">
      <c r="A19" s="4">
        <v>16</v>
      </c>
      <c r="B19" s="5" t="s">
        <v>49</v>
      </c>
      <c r="C19" s="5" t="s">
        <v>42</v>
      </c>
      <c r="D19" s="5" t="s">
        <v>11</v>
      </c>
      <c r="E19" s="5" t="s">
        <v>19</v>
      </c>
      <c r="F19" s="4">
        <v>19</v>
      </c>
      <c r="G19" s="6">
        <v>95000</v>
      </c>
      <c r="J19">
        <v>13</v>
      </c>
      <c r="K19" t="str">
        <v>20-Jun-24</v>
      </c>
      <c r="L19" t="str">
        <v>Sylhet</v>
      </c>
      <c r="M19" t="str">
        <v>Electronics</v>
      </c>
      <c r="N19" t="str">
        <v>Notebook</v>
      </c>
      <c r="O19">
        <v>6</v>
      </c>
      <c r="P19">
        <v>108000</v>
      </c>
    </row>
    <row r="20" spans="1:16" x14ac:dyDescent="0.25">
      <c r="A20" s="4">
        <v>17</v>
      </c>
      <c r="B20" s="5" t="s">
        <v>50</v>
      </c>
      <c r="C20" s="5" t="s">
        <v>24</v>
      </c>
      <c r="D20" s="5" t="s">
        <v>48</v>
      </c>
      <c r="E20" s="5" t="s">
        <v>51</v>
      </c>
      <c r="F20" s="4">
        <v>5</v>
      </c>
      <c r="G20" s="6">
        <v>12500</v>
      </c>
      <c r="J20">
        <v>15</v>
      </c>
      <c r="K20" t="str">
        <v>26-Feb-24</v>
      </c>
      <c r="L20" t="str">
        <v>Sylhet</v>
      </c>
      <c r="M20" t="str">
        <v>Electronics</v>
      </c>
      <c r="N20" t="str">
        <v>Rice</v>
      </c>
      <c r="O20">
        <v>2</v>
      </c>
      <c r="P20">
        <v>10000</v>
      </c>
    </row>
    <row r="21" spans="1:16" x14ac:dyDescent="0.25">
      <c r="A21" s="4">
        <v>18</v>
      </c>
      <c r="B21" s="5" t="s">
        <v>14</v>
      </c>
      <c r="C21" s="5" t="s">
        <v>39</v>
      </c>
      <c r="D21" s="5" t="s">
        <v>15</v>
      </c>
      <c r="E21" s="5" t="s">
        <v>37</v>
      </c>
      <c r="F21" s="4">
        <v>9</v>
      </c>
      <c r="G21" s="6">
        <v>72000</v>
      </c>
      <c r="J21">
        <v>16</v>
      </c>
      <c r="K21" t="str">
        <v>12-Apr-24</v>
      </c>
      <c r="L21" t="str">
        <v>Sylhet</v>
      </c>
      <c r="M21" t="str">
        <v>Electronics</v>
      </c>
      <c r="N21" t="str">
        <v>Rice</v>
      </c>
      <c r="O21">
        <v>19</v>
      </c>
      <c r="P21">
        <v>95000</v>
      </c>
    </row>
    <row r="22" spans="1:16" x14ac:dyDescent="0.25">
      <c r="A22" s="4">
        <v>19</v>
      </c>
      <c r="B22" s="5" t="s">
        <v>52</v>
      </c>
      <c r="C22" s="5" t="s">
        <v>24</v>
      </c>
      <c r="D22" s="5" t="s">
        <v>27</v>
      </c>
      <c r="E22" s="5" t="s">
        <v>19</v>
      </c>
      <c r="F22" s="4">
        <v>5</v>
      </c>
      <c r="G22" s="6">
        <v>90000</v>
      </c>
      <c r="J22">
        <v>19</v>
      </c>
      <c r="K22" t="str">
        <v>29-May-24</v>
      </c>
      <c r="L22" t="str">
        <v>Rajshahi</v>
      </c>
      <c r="M22" t="str">
        <v>Food</v>
      </c>
      <c r="N22" t="str">
        <v>Rice</v>
      </c>
      <c r="O22">
        <v>5</v>
      </c>
      <c r="P22">
        <v>90000</v>
      </c>
    </row>
    <row r="23" spans="1:16" x14ac:dyDescent="0.25">
      <c r="A23" s="4">
        <v>20</v>
      </c>
      <c r="B23" s="5" t="s">
        <v>53</v>
      </c>
      <c r="C23" s="5" t="s">
        <v>10</v>
      </c>
      <c r="D23" s="5" t="s">
        <v>11</v>
      </c>
      <c r="E23" s="5" t="s">
        <v>16</v>
      </c>
      <c r="F23" s="4">
        <v>5</v>
      </c>
      <c r="G23" s="6">
        <v>4000</v>
      </c>
      <c r="J23">
        <v>20</v>
      </c>
      <c r="K23" t="str">
        <v>06-May-24</v>
      </c>
      <c r="L23" t="str">
        <v>Dhaka</v>
      </c>
      <c r="M23" t="str">
        <v>Electronics</v>
      </c>
      <c r="N23" t="str">
        <v>Phone</v>
      </c>
      <c r="O23">
        <v>5</v>
      </c>
      <c r="P23">
        <v>4000</v>
      </c>
    </row>
    <row r="24" spans="1:16" x14ac:dyDescent="0.25">
      <c r="A24" s="4">
        <v>21</v>
      </c>
      <c r="B24" s="5" t="s">
        <v>54</v>
      </c>
      <c r="C24" s="5" t="s">
        <v>24</v>
      </c>
      <c r="D24" s="5" t="s">
        <v>15</v>
      </c>
      <c r="E24" s="5" t="s">
        <v>16</v>
      </c>
      <c r="F24" s="4">
        <v>13</v>
      </c>
      <c r="G24" s="6">
        <v>104000</v>
      </c>
      <c r="J24">
        <v>28</v>
      </c>
      <c r="K24" t="str">
        <v>29-Jan-24</v>
      </c>
      <c r="L24" t="str">
        <v>Sylhet</v>
      </c>
      <c r="M24" t="str">
        <v>Food</v>
      </c>
      <c r="N24" t="str">
        <v>Rice</v>
      </c>
      <c r="O24">
        <v>2</v>
      </c>
      <c r="P24">
        <v>2400</v>
      </c>
    </row>
    <row r="25" spans="1:16" x14ac:dyDescent="0.25">
      <c r="A25" s="4">
        <v>22</v>
      </c>
      <c r="B25" s="5" t="s">
        <v>55</v>
      </c>
      <c r="C25" s="5" t="s">
        <v>24</v>
      </c>
      <c r="D25" s="5" t="s">
        <v>15</v>
      </c>
      <c r="E25" s="5" t="s">
        <v>12</v>
      </c>
      <c r="F25" s="4">
        <v>18</v>
      </c>
      <c r="G25" s="6">
        <v>3600</v>
      </c>
      <c r="J25">
        <v>29</v>
      </c>
      <c r="K25" t="str">
        <v>25-May-24</v>
      </c>
      <c r="L25" t="str">
        <v>Dhaka</v>
      </c>
      <c r="M25" t="str">
        <v>Electronics</v>
      </c>
      <c r="N25" t="str">
        <v>Desk</v>
      </c>
      <c r="O25">
        <v>3</v>
      </c>
      <c r="P25">
        <v>54000</v>
      </c>
    </row>
    <row r="26" spans="1:16" x14ac:dyDescent="0.25">
      <c r="A26" s="4">
        <v>23</v>
      </c>
      <c r="B26" s="5" t="s">
        <v>54</v>
      </c>
      <c r="C26" s="5" t="s">
        <v>10</v>
      </c>
      <c r="D26" s="5" t="s">
        <v>15</v>
      </c>
      <c r="E26" s="5" t="s">
        <v>12</v>
      </c>
      <c r="F26" s="4">
        <v>11</v>
      </c>
      <c r="G26" s="6">
        <v>5500</v>
      </c>
      <c r="J26">
        <v>32</v>
      </c>
      <c r="K26" t="str">
        <v>20-Mar-24</v>
      </c>
      <c r="L26" t="str">
        <v>Rajshahi</v>
      </c>
      <c r="M26" t="str">
        <v>Food</v>
      </c>
      <c r="N26" t="str">
        <v>Desk</v>
      </c>
      <c r="O26">
        <v>17</v>
      </c>
      <c r="P26">
        <v>204000</v>
      </c>
    </row>
    <row r="27" spans="1:16" x14ac:dyDescent="0.25">
      <c r="A27" s="4">
        <v>24</v>
      </c>
      <c r="B27" s="5" t="s">
        <v>56</v>
      </c>
      <c r="C27" s="5" t="s">
        <v>24</v>
      </c>
      <c r="D27" s="5" t="s">
        <v>43</v>
      </c>
      <c r="E27" s="5" t="s">
        <v>51</v>
      </c>
      <c r="F27" s="4">
        <v>1</v>
      </c>
      <c r="G27" s="6">
        <v>2500</v>
      </c>
      <c r="J27">
        <v>40</v>
      </c>
      <c r="K27" t="str">
        <v>16-Jan-24</v>
      </c>
      <c r="L27" t="str">
        <v>Rajshahi</v>
      </c>
      <c r="M27" t="str">
        <v>Food</v>
      </c>
      <c r="N27" t="str">
        <v>Phone</v>
      </c>
      <c r="O27">
        <v>8</v>
      </c>
      <c r="P27">
        <v>9600</v>
      </c>
    </row>
    <row r="28" spans="1:16" x14ac:dyDescent="0.25">
      <c r="A28" s="4">
        <v>25</v>
      </c>
      <c r="B28" s="5" t="s">
        <v>57</v>
      </c>
      <c r="C28" s="5" t="s">
        <v>39</v>
      </c>
      <c r="D28" s="5" t="s">
        <v>15</v>
      </c>
      <c r="E28" s="5" t="s">
        <v>16</v>
      </c>
      <c r="F28" s="4">
        <v>10</v>
      </c>
      <c r="G28" s="6">
        <v>180000</v>
      </c>
      <c r="J28">
        <v>48</v>
      </c>
      <c r="K28" t="str">
        <v>16-Jan-24</v>
      </c>
      <c r="L28" t="str">
        <v>Sylhet</v>
      </c>
      <c r="M28" t="str">
        <v>Electronics</v>
      </c>
      <c r="N28" t="str">
        <v>Laptop</v>
      </c>
      <c r="O28">
        <v>19</v>
      </c>
      <c r="P28">
        <v>228000</v>
      </c>
    </row>
    <row r="29" spans="1:16" x14ac:dyDescent="0.25">
      <c r="A29" s="4">
        <v>26</v>
      </c>
      <c r="B29" s="5" t="s">
        <v>58</v>
      </c>
      <c r="C29" s="5" t="s">
        <v>39</v>
      </c>
      <c r="D29" s="5" t="s">
        <v>43</v>
      </c>
      <c r="E29" s="5" t="s">
        <v>44</v>
      </c>
      <c r="F29" s="4">
        <v>6</v>
      </c>
      <c r="G29" s="6">
        <v>108000</v>
      </c>
    </row>
    <row r="30" spans="1:16" x14ac:dyDescent="0.25">
      <c r="A30" s="4">
        <v>27</v>
      </c>
      <c r="B30" s="5" t="s">
        <v>59</v>
      </c>
      <c r="C30" s="5" t="s">
        <v>10</v>
      </c>
      <c r="D30" s="5" t="s">
        <v>15</v>
      </c>
      <c r="E30" s="5" t="s">
        <v>44</v>
      </c>
      <c r="F30" s="4">
        <v>16</v>
      </c>
      <c r="G30" s="6">
        <v>3200</v>
      </c>
    </row>
    <row r="31" spans="1:16" x14ac:dyDescent="0.25">
      <c r="A31" s="4">
        <v>28</v>
      </c>
      <c r="B31" s="5" t="s">
        <v>60</v>
      </c>
      <c r="C31" s="5" t="s">
        <v>42</v>
      </c>
      <c r="D31" s="5" t="s">
        <v>27</v>
      </c>
      <c r="E31" s="5" t="s">
        <v>19</v>
      </c>
      <c r="F31" s="4">
        <v>2</v>
      </c>
      <c r="G31" s="6">
        <v>2400</v>
      </c>
    </row>
    <row r="32" spans="1:16" x14ac:dyDescent="0.25">
      <c r="A32" s="4">
        <v>29</v>
      </c>
      <c r="B32" s="5" t="s">
        <v>61</v>
      </c>
      <c r="C32" s="5" t="s">
        <v>10</v>
      </c>
      <c r="D32" s="5" t="s">
        <v>11</v>
      </c>
      <c r="E32" s="5" t="s">
        <v>51</v>
      </c>
      <c r="F32" s="4">
        <v>3</v>
      </c>
      <c r="G32" s="6">
        <v>54000</v>
      </c>
    </row>
    <row r="33" spans="1:7" x14ac:dyDescent="0.25">
      <c r="A33" s="4">
        <v>30</v>
      </c>
      <c r="B33" s="5" t="s">
        <v>62</v>
      </c>
      <c r="C33" s="5" t="s">
        <v>39</v>
      </c>
      <c r="D33" s="5" t="s">
        <v>48</v>
      </c>
      <c r="E33" s="5" t="s">
        <v>37</v>
      </c>
      <c r="F33" s="4">
        <v>6</v>
      </c>
      <c r="G33" s="6">
        <v>15000</v>
      </c>
    </row>
    <row r="34" spans="1:7" x14ac:dyDescent="0.25">
      <c r="A34" s="4">
        <v>31</v>
      </c>
      <c r="B34" s="5" t="s">
        <v>59</v>
      </c>
      <c r="C34" s="5" t="s">
        <v>33</v>
      </c>
      <c r="D34" s="5" t="s">
        <v>48</v>
      </c>
      <c r="E34" s="5" t="s">
        <v>19</v>
      </c>
      <c r="F34" s="4">
        <v>18</v>
      </c>
      <c r="G34" s="6">
        <v>21600</v>
      </c>
    </row>
    <row r="35" spans="1:7" x14ac:dyDescent="0.25">
      <c r="A35" s="4">
        <v>32</v>
      </c>
      <c r="B35" s="5" t="s">
        <v>63</v>
      </c>
      <c r="C35" s="5" t="s">
        <v>24</v>
      </c>
      <c r="D35" s="5" t="s">
        <v>27</v>
      </c>
      <c r="E35" s="5" t="s">
        <v>51</v>
      </c>
      <c r="F35" s="4">
        <v>17</v>
      </c>
      <c r="G35" s="6">
        <v>204000</v>
      </c>
    </row>
    <row r="36" spans="1:7" x14ac:dyDescent="0.25">
      <c r="A36" s="4">
        <v>33</v>
      </c>
      <c r="B36" s="5" t="s">
        <v>64</v>
      </c>
      <c r="C36" s="5" t="s">
        <v>39</v>
      </c>
      <c r="D36" s="5" t="s">
        <v>43</v>
      </c>
      <c r="E36" s="5" t="s">
        <v>16</v>
      </c>
      <c r="F36" s="4">
        <v>11</v>
      </c>
      <c r="G36" s="6">
        <v>2200</v>
      </c>
    </row>
    <row r="37" spans="1:7" x14ac:dyDescent="0.25">
      <c r="A37" s="4">
        <v>34</v>
      </c>
      <c r="B37" s="5" t="s">
        <v>65</v>
      </c>
      <c r="C37" s="5" t="s">
        <v>33</v>
      </c>
      <c r="D37" s="5" t="s">
        <v>43</v>
      </c>
      <c r="E37" s="5" t="s">
        <v>46</v>
      </c>
      <c r="F37" s="4">
        <v>8</v>
      </c>
      <c r="G37" s="6">
        <v>1600</v>
      </c>
    </row>
    <row r="38" spans="1:7" x14ac:dyDescent="0.25">
      <c r="A38" s="4">
        <v>35</v>
      </c>
      <c r="B38" s="5" t="s">
        <v>66</v>
      </c>
      <c r="C38" s="5" t="s">
        <v>10</v>
      </c>
      <c r="D38" s="5" t="s">
        <v>43</v>
      </c>
      <c r="E38" s="5" t="s">
        <v>16</v>
      </c>
      <c r="F38" s="4">
        <v>2</v>
      </c>
      <c r="G38" s="6">
        <v>10000</v>
      </c>
    </row>
    <row r="39" spans="1:7" x14ac:dyDescent="0.25">
      <c r="A39" s="4">
        <v>36</v>
      </c>
      <c r="B39" s="5" t="s">
        <v>66</v>
      </c>
      <c r="C39" s="5" t="s">
        <v>33</v>
      </c>
      <c r="D39" s="5" t="s">
        <v>43</v>
      </c>
      <c r="E39" s="5" t="s">
        <v>12</v>
      </c>
      <c r="F39" s="4">
        <v>16</v>
      </c>
      <c r="G39" s="6">
        <v>19200</v>
      </c>
    </row>
    <row r="40" spans="1:7" x14ac:dyDescent="0.25">
      <c r="A40" s="4">
        <v>37</v>
      </c>
      <c r="B40" s="5" t="s">
        <v>67</v>
      </c>
      <c r="C40" s="5" t="s">
        <v>39</v>
      </c>
      <c r="D40" s="5" t="s">
        <v>15</v>
      </c>
      <c r="E40" s="5" t="s">
        <v>46</v>
      </c>
      <c r="F40" s="4">
        <v>16</v>
      </c>
      <c r="G40" s="6">
        <v>19200</v>
      </c>
    </row>
    <row r="41" spans="1:7" x14ac:dyDescent="0.25">
      <c r="A41" s="4">
        <v>38</v>
      </c>
      <c r="B41" s="5" t="s">
        <v>68</v>
      </c>
      <c r="C41" s="5" t="s">
        <v>24</v>
      </c>
      <c r="D41" s="5" t="s">
        <v>43</v>
      </c>
      <c r="E41" s="5" t="s">
        <v>16</v>
      </c>
      <c r="F41" s="4">
        <v>4</v>
      </c>
      <c r="G41" s="6">
        <v>32000</v>
      </c>
    </row>
    <row r="42" spans="1:7" x14ac:dyDescent="0.25">
      <c r="A42" s="4">
        <v>39</v>
      </c>
      <c r="B42" s="5" t="s">
        <v>69</v>
      </c>
      <c r="C42" s="5" t="s">
        <v>24</v>
      </c>
      <c r="D42" s="5" t="s">
        <v>48</v>
      </c>
      <c r="E42" s="5" t="s">
        <v>51</v>
      </c>
      <c r="F42" s="4">
        <v>2</v>
      </c>
      <c r="G42" s="6">
        <v>1000</v>
      </c>
    </row>
    <row r="43" spans="1:7" x14ac:dyDescent="0.25">
      <c r="A43" s="4">
        <v>40</v>
      </c>
      <c r="B43" s="5" t="s">
        <v>70</v>
      </c>
      <c r="C43" s="5" t="s">
        <v>24</v>
      </c>
      <c r="D43" s="5" t="s">
        <v>27</v>
      </c>
      <c r="E43" s="5" t="s">
        <v>16</v>
      </c>
      <c r="F43" s="4">
        <v>8</v>
      </c>
      <c r="G43" s="6">
        <v>9600</v>
      </c>
    </row>
    <row r="44" spans="1:7" x14ac:dyDescent="0.25">
      <c r="A44" s="4">
        <v>41</v>
      </c>
      <c r="B44" s="5" t="s">
        <v>71</v>
      </c>
      <c r="C44" s="5" t="s">
        <v>33</v>
      </c>
      <c r="D44" s="5" t="s">
        <v>48</v>
      </c>
      <c r="E44" s="5" t="s">
        <v>72</v>
      </c>
      <c r="F44" s="4">
        <v>14</v>
      </c>
      <c r="G44" s="6">
        <v>11200</v>
      </c>
    </row>
    <row r="45" spans="1:7" x14ac:dyDescent="0.25">
      <c r="A45" s="4">
        <v>42</v>
      </c>
      <c r="B45" s="5" t="s">
        <v>73</v>
      </c>
      <c r="C45" s="5" t="s">
        <v>24</v>
      </c>
      <c r="D45" s="5" t="s">
        <v>43</v>
      </c>
      <c r="E45" s="5" t="s">
        <v>16</v>
      </c>
      <c r="F45" s="4">
        <v>15</v>
      </c>
      <c r="G45" s="6">
        <v>270000</v>
      </c>
    </row>
    <row r="46" spans="1:7" x14ac:dyDescent="0.25">
      <c r="A46" s="4">
        <v>43</v>
      </c>
      <c r="B46" s="5" t="s">
        <v>74</v>
      </c>
      <c r="C46" s="5" t="s">
        <v>10</v>
      </c>
      <c r="D46" s="5" t="s">
        <v>15</v>
      </c>
      <c r="E46" s="5" t="s">
        <v>34</v>
      </c>
      <c r="F46" s="4">
        <v>3</v>
      </c>
      <c r="G46" s="6">
        <v>3600</v>
      </c>
    </row>
    <row r="47" spans="1:7" x14ac:dyDescent="0.25">
      <c r="A47" s="4">
        <v>44</v>
      </c>
      <c r="B47" s="5" t="s">
        <v>75</v>
      </c>
      <c r="C47" s="5" t="s">
        <v>24</v>
      </c>
      <c r="D47" s="5" t="s">
        <v>48</v>
      </c>
      <c r="E47" s="5" t="s">
        <v>51</v>
      </c>
      <c r="F47" s="4">
        <v>7</v>
      </c>
      <c r="G47" s="6">
        <v>56000</v>
      </c>
    </row>
    <row r="48" spans="1:7" x14ac:dyDescent="0.25">
      <c r="A48" s="4">
        <v>45</v>
      </c>
      <c r="B48" s="5" t="s">
        <v>70</v>
      </c>
      <c r="C48" s="5" t="s">
        <v>39</v>
      </c>
      <c r="D48" s="5" t="s">
        <v>48</v>
      </c>
      <c r="E48" s="5" t="s">
        <v>34</v>
      </c>
      <c r="F48" s="4">
        <v>13</v>
      </c>
      <c r="G48" s="6">
        <v>32500</v>
      </c>
    </row>
    <row r="49" spans="1:7" x14ac:dyDescent="0.25">
      <c r="A49" s="4">
        <v>46</v>
      </c>
      <c r="B49" s="5" t="s">
        <v>76</v>
      </c>
      <c r="C49" s="5" t="s">
        <v>42</v>
      </c>
      <c r="D49" s="5" t="s">
        <v>48</v>
      </c>
      <c r="E49" s="5" t="s">
        <v>37</v>
      </c>
      <c r="F49" s="4">
        <v>16</v>
      </c>
      <c r="G49" s="6">
        <v>12800</v>
      </c>
    </row>
    <row r="50" spans="1:7" x14ac:dyDescent="0.25">
      <c r="A50" s="4">
        <v>47</v>
      </c>
      <c r="B50" s="5" t="s">
        <v>71</v>
      </c>
      <c r="C50" s="5" t="s">
        <v>42</v>
      </c>
      <c r="D50" s="5" t="s">
        <v>43</v>
      </c>
      <c r="E50" s="5" t="s">
        <v>34</v>
      </c>
      <c r="F50" s="4">
        <v>19</v>
      </c>
      <c r="G50" s="6">
        <v>342000</v>
      </c>
    </row>
    <row r="51" spans="1:7" x14ac:dyDescent="0.25">
      <c r="A51" s="4">
        <v>48</v>
      </c>
      <c r="B51" s="5" t="s">
        <v>70</v>
      </c>
      <c r="C51" s="5" t="s">
        <v>42</v>
      </c>
      <c r="D51" s="5" t="s">
        <v>11</v>
      </c>
      <c r="E51" s="5" t="s">
        <v>34</v>
      </c>
      <c r="F51" s="4">
        <v>19</v>
      </c>
      <c r="G51" s="6">
        <v>228000</v>
      </c>
    </row>
    <row r="52" spans="1:7" x14ac:dyDescent="0.25">
      <c r="A52" s="4">
        <v>49</v>
      </c>
      <c r="B52" s="5" t="s">
        <v>57</v>
      </c>
      <c r="C52" s="5" t="s">
        <v>33</v>
      </c>
      <c r="D52" s="5" t="s">
        <v>43</v>
      </c>
      <c r="E52" s="5" t="s">
        <v>34</v>
      </c>
      <c r="F52" s="4">
        <v>17</v>
      </c>
      <c r="G52" s="6">
        <v>8500</v>
      </c>
    </row>
    <row r="53" spans="1:7" x14ac:dyDescent="0.25">
      <c r="A53" s="4">
        <v>50</v>
      </c>
      <c r="B53" s="5" t="s">
        <v>77</v>
      </c>
      <c r="C53" s="5" t="s">
        <v>10</v>
      </c>
      <c r="D53" s="5" t="s">
        <v>15</v>
      </c>
      <c r="E53" s="5" t="s">
        <v>16</v>
      </c>
      <c r="F53" s="4">
        <v>8</v>
      </c>
      <c r="G53" s="6">
        <v>64000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selection activeCell="C19" sqref="C19"/>
    </sheetView>
  </sheetViews>
  <sheetFormatPr defaultRowHeight="15" x14ac:dyDescent="0.25"/>
  <cols>
    <col min="1" max="1" width="40" customWidth="1"/>
    <col min="2" max="2" width="16" customWidth="1"/>
    <col min="3" max="3" width="22.5703125" bestFit="1" customWidth="1"/>
    <col min="4" max="4" width="16.42578125" customWidth="1"/>
    <col min="5" max="6" width="12" customWidth="1"/>
    <col min="7" max="7" width="29.7109375" customWidth="1"/>
    <col min="8" max="8" width="17.140625" customWidth="1"/>
    <col min="9" max="9" width="10.5703125" customWidth="1"/>
    <col min="10" max="10" width="12" customWidth="1"/>
    <col min="11" max="14" width="14" customWidth="1"/>
  </cols>
  <sheetData>
    <row r="1" spans="1:14" ht="27.95" customHeight="1" x14ac:dyDescent="0.25">
      <c r="A1" s="10" t="s">
        <v>78</v>
      </c>
    </row>
    <row r="3" spans="1:14" x14ac:dyDescent="0.25">
      <c r="A3" s="3" t="s">
        <v>79</v>
      </c>
      <c r="G3" s="3" t="s">
        <v>80</v>
      </c>
      <c r="J3" s="3" t="s">
        <v>81</v>
      </c>
    </row>
    <row r="4" spans="1:14" x14ac:dyDescent="0.25">
      <c r="A4" s="2" t="s">
        <v>82</v>
      </c>
      <c r="B4" s="2" t="s">
        <v>5</v>
      </c>
      <c r="C4" s="2" t="s">
        <v>4</v>
      </c>
      <c r="D4" s="2" t="s">
        <v>83</v>
      </c>
      <c r="E4" s="2" t="s">
        <v>84</v>
      </c>
      <c r="H4" s="2" t="s">
        <v>85</v>
      </c>
      <c r="I4" s="2" t="s">
        <v>86</v>
      </c>
      <c r="J4" s="2" t="s">
        <v>3</v>
      </c>
      <c r="K4" s="2" t="s">
        <v>87</v>
      </c>
      <c r="L4" s="2" t="s">
        <v>88</v>
      </c>
      <c r="M4" s="2" t="s">
        <v>89</v>
      </c>
      <c r="N4" s="2" t="s">
        <v>90</v>
      </c>
    </row>
    <row r="5" spans="1:14" x14ac:dyDescent="0.25">
      <c r="A5" s="11" t="s">
        <v>91</v>
      </c>
      <c r="B5" s="12" t="s">
        <v>34</v>
      </c>
      <c r="C5" s="12" t="s">
        <v>11</v>
      </c>
      <c r="D5" s="13">
        <v>85000</v>
      </c>
      <c r="E5" s="13">
        <v>15</v>
      </c>
      <c r="G5" s="14">
        <v>0</v>
      </c>
      <c r="H5" s="15" t="s">
        <v>92</v>
      </c>
      <c r="J5" s="16" t="s">
        <v>10</v>
      </c>
      <c r="K5" s="6">
        <v>751420</v>
      </c>
      <c r="L5" s="6">
        <v>1694695</v>
      </c>
      <c r="M5" s="6">
        <v>1016351</v>
      </c>
      <c r="N5" s="6">
        <v>1714081</v>
      </c>
    </row>
    <row r="6" spans="1:14" x14ac:dyDescent="0.25">
      <c r="A6" s="11" t="s">
        <v>93</v>
      </c>
      <c r="B6" s="12" t="s">
        <v>16</v>
      </c>
      <c r="C6" s="12" t="s">
        <v>11</v>
      </c>
      <c r="D6" s="13">
        <v>25000</v>
      </c>
      <c r="E6" s="13">
        <v>30</v>
      </c>
      <c r="G6" s="14">
        <v>50</v>
      </c>
      <c r="H6" s="15" t="s">
        <v>94</v>
      </c>
      <c r="J6" s="16" t="s">
        <v>39</v>
      </c>
      <c r="K6" s="6">
        <v>1746797</v>
      </c>
      <c r="L6" s="6">
        <v>583344</v>
      </c>
      <c r="M6" s="6">
        <v>1798937</v>
      </c>
      <c r="N6" s="6">
        <v>671931</v>
      </c>
    </row>
    <row r="7" spans="1:14" x14ac:dyDescent="0.25">
      <c r="A7" s="11" t="s">
        <v>95</v>
      </c>
      <c r="B7" s="12" t="s">
        <v>72</v>
      </c>
      <c r="C7" s="12" t="s">
        <v>43</v>
      </c>
      <c r="D7" s="13">
        <v>800</v>
      </c>
      <c r="E7" s="13">
        <v>100</v>
      </c>
      <c r="G7" s="14">
        <v>60</v>
      </c>
      <c r="H7" s="15" t="s">
        <v>96</v>
      </c>
      <c r="J7" s="16" t="s">
        <v>42</v>
      </c>
      <c r="K7" s="6">
        <v>1379178</v>
      </c>
      <c r="L7" s="6">
        <v>1878611</v>
      </c>
      <c r="M7" s="6">
        <v>1724049</v>
      </c>
      <c r="N7" s="6">
        <v>1685366</v>
      </c>
    </row>
    <row r="8" spans="1:14" x14ac:dyDescent="0.25">
      <c r="A8" s="11" t="s">
        <v>97</v>
      </c>
      <c r="B8" s="12" t="s">
        <v>37</v>
      </c>
      <c r="C8" s="12" t="s">
        <v>43</v>
      </c>
      <c r="D8" s="13">
        <v>1200</v>
      </c>
      <c r="E8" s="13">
        <v>80</v>
      </c>
      <c r="G8" s="14">
        <v>70</v>
      </c>
      <c r="H8" s="15" t="s">
        <v>98</v>
      </c>
    </row>
    <row r="9" spans="1:14" x14ac:dyDescent="0.25">
      <c r="A9" s="11" t="s">
        <v>99</v>
      </c>
      <c r="B9" s="12" t="s">
        <v>100</v>
      </c>
      <c r="C9" s="12" t="s">
        <v>27</v>
      </c>
      <c r="D9" s="13">
        <v>3500</v>
      </c>
      <c r="E9" s="13">
        <v>50</v>
      </c>
      <c r="G9" s="14">
        <v>80</v>
      </c>
      <c r="H9" s="15" t="s">
        <v>101</v>
      </c>
    </row>
    <row r="10" spans="1:14" x14ac:dyDescent="0.25">
      <c r="A10" s="11" t="s">
        <v>102</v>
      </c>
      <c r="B10" s="12" t="s">
        <v>103</v>
      </c>
      <c r="C10" s="12" t="s">
        <v>27</v>
      </c>
      <c r="D10" s="13">
        <v>800</v>
      </c>
      <c r="E10" s="13">
        <v>60</v>
      </c>
    </row>
    <row r="11" spans="1:14" x14ac:dyDescent="0.25">
      <c r="A11" s="11" t="s">
        <v>104</v>
      </c>
      <c r="B11" s="12" t="s">
        <v>12</v>
      </c>
      <c r="C11" s="12" t="s">
        <v>48</v>
      </c>
      <c r="D11" s="13">
        <v>5000</v>
      </c>
      <c r="E11" s="13">
        <v>20</v>
      </c>
    </row>
    <row r="12" spans="1:14" x14ac:dyDescent="0.25">
      <c r="A12" s="11" t="s">
        <v>105</v>
      </c>
      <c r="B12" s="12" t="s">
        <v>51</v>
      </c>
      <c r="C12" s="12" t="s">
        <v>48</v>
      </c>
      <c r="D12" s="13">
        <v>8000</v>
      </c>
      <c r="E12" s="13">
        <v>10</v>
      </c>
    </row>
    <row r="13" spans="1:14" x14ac:dyDescent="0.25">
      <c r="A13" s="11" t="s">
        <v>106</v>
      </c>
      <c r="B13" s="12" t="s">
        <v>107</v>
      </c>
      <c r="C13" s="12" t="s">
        <v>15</v>
      </c>
      <c r="D13" s="13">
        <v>150</v>
      </c>
      <c r="E13" s="13">
        <v>200</v>
      </c>
    </row>
    <row r="14" spans="1:14" x14ac:dyDescent="0.25">
      <c r="A14" s="11" t="s">
        <v>108</v>
      </c>
      <c r="B14" s="12" t="s">
        <v>46</v>
      </c>
      <c r="C14" s="12" t="s">
        <v>15</v>
      </c>
      <c r="D14" s="13">
        <v>200</v>
      </c>
      <c r="E14" s="13">
        <v>150</v>
      </c>
    </row>
    <row r="17" spans="1:5" x14ac:dyDescent="0.25">
      <c r="A17" s="17" t="s">
        <v>109</v>
      </c>
    </row>
    <row r="18" spans="1:5" x14ac:dyDescent="0.25">
      <c r="A18" s="2" t="s">
        <v>110</v>
      </c>
      <c r="B18" s="2" t="s">
        <v>111</v>
      </c>
      <c r="C18" s="2" t="s">
        <v>155</v>
      </c>
    </row>
    <row r="19" spans="1:5" x14ac:dyDescent="0.25">
      <c r="A19" s="7" t="s">
        <v>112</v>
      </c>
      <c r="B19" s="8" t="s">
        <v>95</v>
      </c>
      <c r="C19" s="8" t="str">
        <f>_xlfn.XLOOKUP(B19,$A$5:$A$14,$B$5:$B$14)</f>
        <v>Shirt</v>
      </c>
    </row>
    <row r="20" spans="1:5" x14ac:dyDescent="0.25">
      <c r="A20" s="7" t="s">
        <v>113</v>
      </c>
      <c r="B20" s="8" t="s">
        <v>104</v>
      </c>
      <c r="C20" s="8" t="str" cm="1">
        <f t="array" ref="C20:E20">_xlfn.XLOOKUP(B20,$A$5:$A$14,$B$5:$D$14,"Not found")</f>
        <v>Chair</v>
      </c>
      <c r="D20" t="str">
        <v>Furniture</v>
      </c>
      <c r="E20">
        <v>5000</v>
      </c>
    </row>
    <row r="21" spans="1:5" x14ac:dyDescent="0.25">
      <c r="A21" s="7" t="s">
        <v>114</v>
      </c>
      <c r="B21" s="8" t="s">
        <v>115</v>
      </c>
      <c r="C21" s="8" t="str">
        <f>_xlfn.XLOOKUP(B21,$G$5:$G$9,$H$5:$H$9,"N/A",1)</f>
        <v>N/A</v>
      </c>
    </row>
    <row r="22" spans="1:5" x14ac:dyDescent="0.25">
      <c r="A22" s="7" t="s">
        <v>116</v>
      </c>
      <c r="B22" s="8" t="s">
        <v>91</v>
      </c>
      <c r="C22" s="8" t="str">
        <f>_xlfn.XLOOKUP(B22,$A$5:$A$14,$B$5:$B$14,"N/A",0,-1)</f>
        <v>Laptop</v>
      </c>
    </row>
    <row r="23" spans="1:5" x14ac:dyDescent="0.25">
      <c r="A23" s="7" t="s">
        <v>117</v>
      </c>
      <c r="B23" s="8" t="s">
        <v>10</v>
      </c>
      <c r="C23" s="8" cm="1">
        <f t="array" ref="C23">_xlfn.XLOOKUP(B23,$J$5:$J$7,_xlfn.XLOOKUP("Q2",$K$4:$N$4,$K$5:$N$7))</f>
        <v>1694695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B16" sqref="B16"/>
    </sheetView>
  </sheetViews>
  <sheetFormatPr defaultRowHeight="15" x14ac:dyDescent="0.25"/>
  <cols>
    <col min="1" max="1" width="48.85546875" customWidth="1"/>
    <col min="2" max="2" width="50" customWidth="1"/>
    <col min="3" max="3" width="3" customWidth="1"/>
    <col min="4" max="4" width="40" customWidth="1"/>
  </cols>
  <sheetData>
    <row r="1" spans="1:4" ht="27.95" customHeight="1" x14ac:dyDescent="0.25">
      <c r="A1" s="18" t="s">
        <v>118</v>
      </c>
    </row>
    <row r="3" spans="1:4" x14ac:dyDescent="0.25">
      <c r="A3" s="3" t="s">
        <v>119</v>
      </c>
    </row>
    <row r="4" spans="1:4" x14ac:dyDescent="0.25">
      <c r="A4" s="7" t="s">
        <v>120</v>
      </c>
      <c r="B4" s="19">
        <v>3000000</v>
      </c>
    </row>
    <row r="5" spans="1:4" x14ac:dyDescent="0.25">
      <c r="A5" s="7" t="s">
        <v>121</v>
      </c>
      <c r="B5" s="20">
        <v>0.09</v>
      </c>
    </row>
    <row r="6" spans="1:4" x14ac:dyDescent="0.25">
      <c r="A6" s="7" t="s">
        <v>122</v>
      </c>
      <c r="B6" s="21">
        <v>15</v>
      </c>
    </row>
    <row r="8" spans="1:4" x14ac:dyDescent="0.25">
      <c r="A8" s="22" t="s">
        <v>123</v>
      </c>
    </row>
    <row r="9" spans="1:4" x14ac:dyDescent="0.25">
      <c r="A9" s="7" t="s">
        <v>124</v>
      </c>
      <c r="B9" s="19">
        <f>_xlfn.LET(_xlpm.rate,B5/12,_xlpm.nper,B6*12,_xlpm.pmt,PMT(_xlpm.rate,_xlpm.nper,-B4),_xlpm.pmt)</f>
        <v>30427.997524853548</v>
      </c>
    </row>
    <row r="10" spans="1:4" x14ac:dyDescent="0.25">
      <c r="A10" s="7" t="s">
        <v>125</v>
      </c>
      <c r="B10" s="19"/>
    </row>
    <row r="12" spans="1:4" x14ac:dyDescent="0.25">
      <c r="A12" s="23" t="s">
        <v>126</v>
      </c>
    </row>
    <row r="13" spans="1:4" x14ac:dyDescent="0.25">
      <c r="A13" s="24" t="s">
        <v>127</v>
      </c>
      <c r="B13" s="25" t="s">
        <v>128</v>
      </c>
    </row>
    <row r="14" spans="1:4" x14ac:dyDescent="0.25">
      <c r="A14" s="7" t="s">
        <v>129</v>
      </c>
      <c r="B14" s="26" t="e" cm="1">
        <f t="array" aca="1" ref="B14" ca="1">LAMBDA(P, annual_rate, n,_xlfn.LET(_xlpm.r, annual_rate/12/100, P * (_xlpm.r * (1+_xlpm.r)^n) / ((1+_xlpm.r)^n - 1)))</f>
        <v>#NAME?</v>
      </c>
    </row>
    <row r="15" spans="1:4" x14ac:dyDescent="0.25">
      <c r="A15" s="7" t="s">
        <v>130</v>
      </c>
      <c r="B15" s="19">
        <f>PMT(B5,B6*12,-B4)</f>
        <v>270000.04949874803</v>
      </c>
      <c r="D15" s="9" t="e">
        <f ca="1">MONTHLY_EMI(3000000,9%,15)  → Same as PMT result</f>
        <v>#NAME?</v>
      </c>
    </row>
    <row r="17" spans="1:4" x14ac:dyDescent="0.25">
      <c r="A17" s="24" t="s">
        <v>131</v>
      </c>
      <c r="B17" s="25" t="s">
        <v>132</v>
      </c>
    </row>
    <row r="18" spans="1:4" x14ac:dyDescent="0.25">
      <c r="A18" s="7" t="s">
        <v>129</v>
      </c>
      <c r="B18" s="26" t="e">
        <f ca="1">LAMBDA(fixed_cost,price,var_cost,fixed_cost/(price-var_cost))</f>
        <v>#NAME?</v>
      </c>
    </row>
    <row r="19" spans="1:4" x14ac:dyDescent="0.25">
      <c r="A19" s="7" t="s">
        <v>133</v>
      </c>
      <c r="B19" s="19"/>
      <c r="D19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A13" sqref="A13"/>
    </sheetView>
  </sheetViews>
  <sheetFormatPr defaultRowHeight="15" x14ac:dyDescent="0.25"/>
  <cols>
    <col min="1" max="1" width="44.42578125" customWidth="1"/>
    <col min="2" max="2" width="65" customWidth="1"/>
  </cols>
  <sheetData>
    <row r="1" spans="1:2" ht="27.95" customHeight="1" x14ac:dyDescent="0.25">
      <c r="A1" s="27" t="s">
        <v>134</v>
      </c>
    </row>
    <row r="3" spans="1:2" ht="35.1" customHeight="1" x14ac:dyDescent="0.25">
      <c r="A3" s="16" t="s">
        <v>135</v>
      </c>
      <c r="B3" s="28" t="s">
        <v>136</v>
      </c>
    </row>
    <row r="4" spans="1:2" ht="35.1" customHeight="1" x14ac:dyDescent="0.25">
      <c r="A4" s="16" t="s">
        <v>137</v>
      </c>
      <c r="B4" s="28" t="s">
        <v>138</v>
      </c>
    </row>
    <row r="5" spans="1:2" ht="35.1" customHeight="1" x14ac:dyDescent="0.25">
      <c r="A5" s="16" t="s">
        <v>139</v>
      </c>
      <c r="B5" s="28" t="s">
        <v>140</v>
      </c>
    </row>
    <row r="6" spans="1:2" ht="35.1" customHeight="1" x14ac:dyDescent="0.25">
      <c r="A6" s="16" t="s">
        <v>141</v>
      </c>
      <c r="B6" s="28" t="s">
        <v>142</v>
      </c>
    </row>
    <row r="7" spans="1:2" ht="35.1" customHeight="1" x14ac:dyDescent="0.25">
      <c r="A7" s="16" t="s">
        <v>143</v>
      </c>
      <c r="B7" s="28" t="s">
        <v>144</v>
      </c>
    </row>
    <row r="8" spans="1:2" ht="35.1" customHeight="1" x14ac:dyDescent="0.25">
      <c r="A8" s="16" t="s">
        <v>145</v>
      </c>
      <c r="B8" s="28" t="s">
        <v>146</v>
      </c>
    </row>
    <row r="9" spans="1:2" ht="35.1" customHeight="1" x14ac:dyDescent="0.25">
      <c r="A9" s="16" t="s">
        <v>147</v>
      </c>
      <c r="B9" s="28" t="s">
        <v>148</v>
      </c>
    </row>
    <row r="10" spans="1:2" ht="35.1" customHeight="1" x14ac:dyDescent="0.25">
      <c r="A10" s="16" t="s">
        <v>149</v>
      </c>
      <c r="B10" s="28" t="s">
        <v>150</v>
      </c>
    </row>
    <row r="11" spans="1:2" ht="35.1" customHeight="1" x14ac:dyDescent="0.25">
      <c r="A11" s="16" t="s">
        <v>151</v>
      </c>
      <c r="B11" s="28" t="s">
        <v>152</v>
      </c>
    </row>
    <row r="13" spans="1:2" ht="69" customHeight="1" x14ac:dyDescent="0.25">
      <c r="A13" s="29" t="s">
        <v>153</v>
      </c>
    </row>
    <row r="14" spans="1:2" x14ac:dyDescent="0.25">
      <c r="A14" s="29"/>
    </row>
    <row r="15" spans="1:2" x14ac:dyDescent="0.25">
      <c r="A15" s="29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C7EFEE-3D3C-492F-AF40-A472FDF2A1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Dynamic Arrays</vt:lpstr>
      <vt:lpstr>XLOOKUP Advanced</vt:lpstr>
      <vt:lpstr>LAMBDA + LET</vt:lpstr>
      <vt:lpstr>Power Query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Munjurul Alam Piash</cp:lastModifiedBy>
  <dcterms:created xsi:type="dcterms:W3CDTF">2026-05-28T06:30:43Z</dcterms:created>
  <dcterms:modified xsi:type="dcterms:W3CDTF">2026-06-01T16:40:24Z</dcterms:modified>
</cp:coreProperties>
</file>