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F:\data analytics\Week 1\Day 1\"/>
    </mc:Choice>
  </mc:AlternateContent>
  <xr:revisionPtr revIDLastSave="0" documentId="13_ncr:1_{E7600998-4BA2-43D4-BE87-B29917AF5B2C}" xr6:coauthVersionLast="47" xr6:coauthVersionMax="47" xr10:uidLastSave="{00000000-0000-0000-0000-000000000000}"/>
  <bookViews>
    <workbookView xWindow="-120" yWindow="-120" windowWidth="29040" windowHeight="16440" xr2:uid="{00000000-000D-0000-FFFF-FFFF00000000}"/>
  </bookViews>
  <sheets>
    <sheet name="Sheet1" sheetId="5" r:id="rId1"/>
    <sheet name="Sales Data" sheetId="1" r:id="rId2"/>
    <sheet name="FDR Comparison" sheetId="2" r:id="rId3"/>
    <sheet name="Mixed Ref - Multiply" sheetId="3" r:id="rId4"/>
    <sheet name="VAT - Absolute Ref" sheetId="4" r:id="rId5"/>
  </sheets>
  <definedNames>
    <definedName name="_xlnm._FilterDatabase" localSheetId="1" hidden="1">'Sales Data'!$C$2:$C$53</definedName>
    <definedName name="Slicer_Product_Name__XLOOKUP">#N/A</definedName>
    <definedName name="Slicer_Region">#N/A</definedName>
  </definedNames>
  <calcPr calcId="191029"/>
  <pivotCaches>
    <pivotCache cacheId="13"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5" i="4" l="1"/>
  <c r="D6" i="4"/>
  <c r="E6" i="4" s="1"/>
  <c r="D7" i="4"/>
  <c r="D8" i="4"/>
  <c r="E8" i="4" s="1"/>
  <c r="D9" i="4"/>
  <c r="D10" i="4"/>
  <c r="E10" i="4" s="1"/>
  <c r="D11" i="4"/>
  <c r="D12" i="4"/>
  <c r="E12" i="4" s="1"/>
  <c r="D13" i="4"/>
  <c r="D4" i="4"/>
  <c r="D3" i="4"/>
  <c r="D3" i="3"/>
  <c r="E3" i="3"/>
  <c r="F3" i="3"/>
  <c r="G3" i="3"/>
  <c r="H3" i="3"/>
  <c r="I3" i="3"/>
  <c r="J3" i="3"/>
  <c r="K3" i="3"/>
  <c r="D4" i="3"/>
  <c r="E4" i="3"/>
  <c r="F4" i="3"/>
  <c r="G4" i="3"/>
  <c r="H4" i="3"/>
  <c r="I4" i="3"/>
  <c r="J4" i="3"/>
  <c r="K4" i="3"/>
  <c r="D5" i="3"/>
  <c r="E5" i="3"/>
  <c r="F5" i="3"/>
  <c r="G5" i="3"/>
  <c r="H5" i="3"/>
  <c r="I5" i="3"/>
  <c r="J5" i="3"/>
  <c r="K5" i="3"/>
  <c r="D6" i="3"/>
  <c r="E6" i="3"/>
  <c r="F6" i="3"/>
  <c r="G6" i="3"/>
  <c r="H6" i="3"/>
  <c r="I6" i="3"/>
  <c r="J6" i="3"/>
  <c r="K6" i="3"/>
  <c r="D7" i="3"/>
  <c r="E7" i="3"/>
  <c r="F7" i="3"/>
  <c r="G7" i="3"/>
  <c r="H7" i="3"/>
  <c r="I7" i="3"/>
  <c r="J7" i="3"/>
  <c r="K7" i="3"/>
  <c r="D8" i="3"/>
  <c r="E8" i="3"/>
  <c r="F8" i="3"/>
  <c r="G8" i="3"/>
  <c r="H8" i="3"/>
  <c r="I8" i="3"/>
  <c r="J8" i="3"/>
  <c r="K8" i="3"/>
  <c r="D9" i="3"/>
  <c r="E9" i="3"/>
  <c r="F9" i="3"/>
  <c r="G9" i="3"/>
  <c r="H9" i="3"/>
  <c r="I9" i="3"/>
  <c r="J9" i="3"/>
  <c r="K9" i="3"/>
  <c r="D10" i="3"/>
  <c r="E10" i="3"/>
  <c r="F10" i="3"/>
  <c r="G10" i="3"/>
  <c r="H10" i="3"/>
  <c r="I10" i="3"/>
  <c r="J10" i="3"/>
  <c r="K10" i="3"/>
  <c r="D11" i="3"/>
  <c r="E11" i="3"/>
  <c r="F11" i="3"/>
  <c r="G11" i="3"/>
  <c r="H11" i="3"/>
  <c r="I11" i="3"/>
  <c r="J11" i="3"/>
  <c r="K11" i="3"/>
  <c r="D12" i="3"/>
  <c r="E12" i="3"/>
  <c r="F12" i="3"/>
  <c r="G12" i="3"/>
  <c r="H12" i="3"/>
  <c r="I12" i="3"/>
  <c r="J12" i="3"/>
  <c r="K12" i="3"/>
  <c r="C3" i="3"/>
  <c r="C4" i="3"/>
  <c r="C5" i="3"/>
  <c r="C6" i="3"/>
  <c r="C7" i="3"/>
  <c r="C8" i="3"/>
  <c r="C9" i="3"/>
  <c r="C10" i="3"/>
  <c r="C11" i="3"/>
  <c r="C12" i="3"/>
  <c r="B4" i="3"/>
  <c r="B5" i="3"/>
  <c r="B6" i="3"/>
  <c r="B7" i="3"/>
  <c r="B8" i="3"/>
  <c r="B9" i="3"/>
  <c r="B10" i="3"/>
  <c r="B11" i="3"/>
  <c r="B12" i="3"/>
  <c r="B3" i="3"/>
  <c r="C18" i="2"/>
  <c r="C17" i="2"/>
  <c r="C16" i="2"/>
  <c r="F7" i="2"/>
  <c r="F8" i="2"/>
  <c r="F9" i="2"/>
  <c r="F10" i="2"/>
  <c r="F6" i="2"/>
  <c r="F13" i="2"/>
  <c r="E7" i="2"/>
  <c r="E8" i="2"/>
  <c r="E9" i="2"/>
  <c r="E10" i="2"/>
  <c r="D7" i="2"/>
  <c r="D8" i="2"/>
  <c r="D9" i="2"/>
  <c r="D10" i="2"/>
  <c r="D6" i="2"/>
  <c r="C6" i="2"/>
  <c r="C7" i="2"/>
  <c r="C8" i="2"/>
  <c r="C9" i="2"/>
  <c r="C10" i="2"/>
  <c r="E6" i="2"/>
  <c r="H15" i="1"/>
  <c r="H52" i="1"/>
  <c r="H45" i="1"/>
  <c r="H9" i="1"/>
  <c r="H10" i="1"/>
  <c r="H25" i="1"/>
  <c r="H11" i="1"/>
  <c r="H38" i="1"/>
  <c r="H26" i="1"/>
  <c r="H12" i="1"/>
  <c r="H13" i="1"/>
  <c r="H27" i="1"/>
  <c r="H3" i="1"/>
  <c r="H4" i="1"/>
  <c r="H46" i="1"/>
  <c r="H39" i="1"/>
  <c r="H47" i="1"/>
  <c r="H28" i="1"/>
  <c r="H14" i="1"/>
  <c r="H48" i="1"/>
  <c r="H40" i="1"/>
  <c r="H5" i="1"/>
  <c r="H16" i="1"/>
  <c r="H41" i="1"/>
  <c r="H29" i="1"/>
  <c r="H30" i="1"/>
  <c r="H17" i="1"/>
  <c r="H49" i="1"/>
  <c r="H18" i="1"/>
  <c r="H6" i="1"/>
  <c r="H31" i="1"/>
  <c r="H50" i="1"/>
  <c r="H32" i="1"/>
  <c r="H33" i="1"/>
  <c r="H42" i="1"/>
  <c r="H43" i="1"/>
  <c r="H34" i="1"/>
  <c r="H35" i="1"/>
  <c r="H19" i="1"/>
  <c r="H20" i="1"/>
  <c r="H21" i="1"/>
  <c r="H36" i="1"/>
  <c r="H51" i="1"/>
  <c r="H7" i="1"/>
  <c r="H37" i="1"/>
  <c r="H8" i="1"/>
  <c r="H22" i="1"/>
  <c r="H23" i="1"/>
  <c r="H44" i="1"/>
  <c r="H24" i="1"/>
  <c r="E13" i="4"/>
  <c r="E11" i="4"/>
  <c r="E9" i="4"/>
  <c r="E7" i="4"/>
  <c r="E5" i="4"/>
  <c r="E4" i="4"/>
  <c r="E13" i="2"/>
  <c r="D13" i="2"/>
  <c r="C13" i="2"/>
  <c r="G47" i="1"/>
  <c r="I47" i="1" s="1"/>
  <c r="G44" i="1"/>
  <c r="K44" i="1" s="1"/>
  <c r="G30" i="1"/>
  <c r="I30" i="1" s="1"/>
  <c r="G39" i="1"/>
  <c r="K39" i="1" s="1"/>
  <c r="G46" i="1"/>
  <c r="I46" i="1" s="1"/>
  <c r="G22" i="1"/>
  <c r="K22" i="1" s="1"/>
  <c r="G27" i="1"/>
  <c r="I27" i="1" s="1"/>
  <c r="G8" i="1"/>
  <c r="K8" i="1" s="1"/>
  <c r="G40" i="1"/>
  <c r="I40" i="1" s="1"/>
  <c r="G45" i="1"/>
  <c r="K45" i="1" s="1"/>
  <c r="G38" i="1"/>
  <c r="I38" i="1" s="1"/>
  <c r="G29" i="1"/>
  <c r="K29" i="1" s="1"/>
  <c r="G33" i="1"/>
  <c r="I33" i="1" s="1"/>
  <c r="G10" i="1"/>
  <c r="K10" i="1" s="1"/>
  <c r="G52" i="1"/>
  <c r="I52" i="1" s="1"/>
  <c r="G43" i="1"/>
  <c r="K43" i="1" s="1"/>
  <c r="G36" i="1"/>
  <c r="I36" i="1" s="1"/>
  <c r="G35" i="1"/>
  <c r="K35" i="1" s="1"/>
  <c r="G26" i="1"/>
  <c r="I26" i="1" s="1"/>
  <c r="G11" i="1"/>
  <c r="K11" i="1" s="1"/>
  <c r="G16" i="1"/>
  <c r="I16" i="1" s="1"/>
  <c r="G15" i="1"/>
  <c r="K15" i="1" s="1"/>
  <c r="G41" i="1"/>
  <c r="I41" i="1" s="1"/>
  <c r="G28" i="1"/>
  <c r="K28" i="1" s="1"/>
  <c r="G13" i="1"/>
  <c r="I13" i="1" s="1"/>
  <c r="G34" i="1"/>
  <c r="K34" i="1" s="1"/>
  <c r="G31" i="1"/>
  <c r="I31" i="1" s="1"/>
  <c r="G24" i="1"/>
  <c r="K24" i="1" s="1"/>
  <c r="G7" i="1"/>
  <c r="I7" i="1" s="1"/>
  <c r="G3" i="1"/>
  <c r="K3" i="1" s="1"/>
  <c r="G9" i="1"/>
  <c r="I9" i="1" s="1"/>
  <c r="G5" i="1"/>
  <c r="K5" i="1" s="1"/>
  <c r="G25" i="1"/>
  <c r="I25" i="1" s="1"/>
  <c r="G4" i="1"/>
  <c r="K4" i="1" s="1"/>
  <c r="G12" i="1"/>
  <c r="I12" i="1" s="1"/>
  <c r="G6" i="1"/>
  <c r="K6" i="1" s="1"/>
  <c r="G17" i="1"/>
  <c r="I17" i="1" s="1"/>
  <c r="G21" i="1"/>
  <c r="K21" i="1" s="1"/>
  <c r="G49" i="1"/>
  <c r="I49" i="1" s="1"/>
  <c r="G14" i="1"/>
  <c r="K14" i="1" s="1"/>
  <c r="G42" i="1"/>
  <c r="I42" i="1" s="1"/>
  <c r="G48" i="1"/>
  <c r="K48" i="1" s="1"/>
  <c r="G18" i="1"/>
  <c r="I18" i="1" s="1"/>
  <c r="G51" i="1"/>
  <c r="K51" i="1" s="1"/>
  <c r="G50" i="1"/>
  <c r="I50" i="1" s="1"/>
  <c r="G32" i="1"/>
  <c r="K32" i="1" s="1"/>
  <c r="G37" i="1"/>
  <c r="I37" i="1" s="1"/>
  <c r="G23" i="1"/>
  <c r="K23" i="1" s="1"/>
  <c r="G20" i="1"/>
  <c r="I20" i="1" s="1"/>
  <c r="J19" i="1"/>
  <c r="G19" i="1"/>
  <c r="I19" i="1" s="1"/>
  <c r="K50" i="1" l="1"/>
  <c r="K16" i="1"/>
  <c r="K46" i="1"/>
  <c r="I51" i="1"/>
  <c r="K19" i="1"/>
  <c r="K25" i="1"/>
  <c r="I29" i="1"/>
  <c r="I23" i="1"/>
  <c r="K49" i="1"/>
  <c r="K13" i="1"/>
  <c r="I43" i="1"/>
  <c r="I24" i="1"/>
  <c r="K37" i="1"/>
  <c r="K42" i="1"/>
  <c r="I5" i="1"/>
  <c r="K20" i="1"/>
  <c r="K7" i="1"/>
  <c r="K33" i="1"/>
  <c r="I39" i="1"/>
  <c r="I11" i="1"/>
  <c r="I6" i="1"/>
  <c r="K36" i="1"/>
  <c r="K47" i="1"/>
  <c r="K17" i="1"/>
  <c r="K9" i="1"/>
  <c r="K40" i="1"/>
  <c r="I8" i="1"/>
  <c r="I28" i="1"/>
  <c r="I14" i="1"/>
  <c r="K18" i="1"/>
  <c r="K12" i="1"/>
  <c r="K31" i="1"/>
  <c r="K26" i="1"/>
  <c r="K38" i="1"/>
  <c r="K30" i="1"/>
  <c r="I44" i="1"/>
  <c r="I22" i="1"/>
  <c r="I45" i="1"/>
  <c r="I10" i="1"/>
  <c r="I35" i="1"/>
  <c r="I15" i="1"/>
  <c r="I34" i="1"/>
  <c r="I3" i="1"/>
  <c r="I4" i="1"/>
  <c r="I21" i="1"/>
  <c r="I48" i="1"/>
  <c r="I32" i="1"/>
  <c r="K41" i="1"/>
  <c r="K52" i="1"/>
  <c r="K27" i="1"/>
  <c r="N17" i="1" l="1"/>
  <c r="N15" i="1"/>
  <c r="N19" i="1"/>
  <c r="N18" i="1"/>
  <c r="N16" i="1"/>
</calcChain>
</file>

<file path=xl/sharedStrings.xml><?xml version="1.0" encoding="utf-8"?>
<sst xmlns="http://schemas.openxmlformats.org/spreadsheetml/2006/main" count="274" uniqueCount="102">
  <si>
    <t>📊 Day 1 Practice — Sales Data | 🟡Yellow=তুমি fill করবে | 🟢Green=formula already আছে</t>
  </si>
  <si>
    <t>#</t>
  </si>
  <si>
    <t>Product Code</t>
  </si>
  <si>
    <t>Region</t>
  </si>
  <si>
    <t>Category</t>
  </si>
  <si>
    <t>Unit Price</t>
  </si>
  <si>
    <t>Qty</t>
  </si>
  <si>
    <t>Sales</t>
  </si>
  <si>
    <t>Product Name
(XLOOKUP)</t>
  </si>
  <si>
    <t>Sales Category
(IFS)</t>
  </si>
  <si>
    <t>Discount%
(IF+OR)</t>
  </si>
  <si>
    <t>Net Sales</t>
  </si>
  <si>
    <t>Code</t>
  </si>
  <si>
    <t>Product Name</t>
  </si>
  <si>
    <t>P002</t>
  </si>
  <si>
    <t>Dhaka</t>
  </si>
  <si>
    <t>Food</t>
  </si>
  <si>
    <t>P001</t>
  </si>
  <si>
    <t>Laptop</t>
  </si>
  <si>
    <t>P003</t>
  </si>
  <si>
    <t>Stationery</t>
  </si>
  <si>
    <t>Phone</t>
  </si>
  <si>
    <t>P007</t>
  </si>
  <si>
    <t>Electronics</t>
  </si>
  <si>
    <t>Shirt</t>
  </si>
  <si>
    <t>P004</t>
  </si>
  <si>
    <t>Khulna</t>
  </si>
  <si>
    <t>Pants</t>
  </si>
  <si>
    <t>Furniture</t>
  </si>
  <si>
    <t>P005</t>
  </si>
  <si>
    <t>Rice</t>
  </si>
  <si>
    <t>P010</t>
  </si>
  <si>
    <t>Sylhet</t>
  </si>
  <si>
    <t>P006</t>
  </si>
  <si>
    <t>Oil</t>
  </si>
  <si>
    <t>Chair</t>
  </si>
  <si>
    <t>P008</t>
  </si>
  <si>
    <t>Desk</t>
  </si>
  <si>
    <t>P009</t>
  </si>
  <si>
    <t>Pen</t>
  </si>
  <si>
    <t>Rajshahi</t>
  </si>
  <si>
    <t>Notebook</t>
  </si>
  <si>
    <t>📊 Summary</t>
  </si>
  <si>
    <t>Clothing</t>
  </si>
  <si>
    <t>Total Sales:</t>
  </si>
  <si>
    <t>Avg Sales:</t>
  </si>
  <si>
    <t>CTG</t>
  </si>
  <si>
    <t>Max:</t>
  </si>
  <si>
    <t>Min:</t>
  </si>
  <si>
    <t>Dhaka rows:</t>
  </si>
  <si>
    <t>💰 FDR Comparison | ৳১,০০,০০০ invest | 🟡Yellow cells-এ FV formula দাও</t>
  </si>
  <si>
    <t>Investment Amount:</t>
  </si>
  <si>
    <t>← এই cell change করো — সব FV update হবে</t>
  </si>
  <si>
    <t>Institution</t>
  </si>
  <si>
    <t>Rate</t>
  </si>
  <si>
    <t>FV 1 Year</t>
  </si>
  <si>
    <t>FV 2 Year</t>
  </si>
  <si>
    <t>FV 5 Year</t>
  </si>
  <si>
    <t>RATE Verify</t>
  </si>
  <si>
    <t>Type</t>
  </si>
  <si>
    <t>Best for</t>
  </si>
  <si>
    <t>Sonali Bank</t>
  </si>
  <si>
    <t>Govt</t>
  </si>
  <si>
    <t>Safe, low risk</t>
  </si>
  <si>
    <t>Dutch-Bangla</t>
  </si>
  <si>
    <t>Private</t>
  </si>
  <si>
    <t>Higher return</t>
  </si>
  <si>
    <t>BRAC Bank</t>
  </si>
  <si>
    <t>Good balance</t>
  </si>
  <si>
    <t>Islami Bank</t>
  </si>
  <si>
    <t>Islamic</t>
  </si>
  <si>
    <t>Halal option</t>
  </si>
  <si>
    <t>Sanchaypatra</t>
  </si>
  <si>
    <t>Govt Bond</t>
  </si>
  <si>
    <t>Highest return</t>
  </si>
  <si>
    <t>Formula hints:</t>
  </si>
  <si>
    <t>🔢 Extra Tasks</t>
  </si>
  <si>
    <t>Task 1: Sanchaypatra ৩ বছর → C16-এ formula দাও</t>
  </si>
  <si>
    <t>Task 2: Islami Bank double হতে কত মাস? → C17-এ NPER</t>
  </si>
  <si>
    <t>Task 3: Rule of 72 → BRAC Bank কত বছরে double? → C18-এ =72/rate</t>
  </si>
  <si>
    <t>🔢 Mixed Reference Multiplication Table | B3-এ =$A3*B$2 লেখো → B3:K12 copy করো</t>
  </si>
  <si>
    <t>×</t>
  </si>
  <si>
    <t>💡 Formula: B3==$A3*B$2 | $A3=Col A fixed | B$2=Row 2 fixed | তারপর B3:K12 পুরো range copy করো</t>
  </si>
  <si>
    <t>💰 VAT Practice — Absolute Ref | F2-এ VAT rate | D column-এ =C4*$F$2 formula দাও</t>
  </si>
  <si>
    <t>VAT Rate:</t>
  </si>
  <si>
    <t>← এখানে rate change করো</t>
  </si>
  <si>
    <t>Product</t>
  </si>
  <si>
    <t>Price (৳)</t>
  </si>
  <si>
    <t>Net Price</t>
  </si>
  <si>
    <t>Sugar</t>
  </si>
  <si>
    <t>Flour</t>
  </si>
  <si>
    <t>Salt</t>
  </si>
  <si>
    <t>Tea</t>
  </si>
  <si>
    <t>Coffee</t>
  </si>
  <si>
    <t>Milk</t>
  </si>
  <si>
    <t>Butter</t>
  </si>
  <si>
    <t>Cheese</t>
  </si>
  <si>
    <t>⚠️ Task: D4-এ =$F$2*C4 (absolute) লেখো → drag। তারপর D4-এ =F2*C4 (relative) লেখো → drag। পার্থক্য দেখো!</t>
  </si>
  <si>
    <t>Row Labels</t>
  </si>
  <si>
    <t>Grand Total</t>
  </si>
  <si>
    <t>Sum of Unit Price</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</si>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</sst>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3" x14ac:knownFonts="1">
    <font>
      <sz val="11"/>
      <color theme="1"/>
      <name val="Calibri"/>
      <family val="2"/>
      <scheme val="minor"/>
    </font>
    <font>
      <b/>
      <sz val="11"/>
      <color rgb="FF065F46"/>
      <name val="Arial"/>
    </font>
    <font>
      <b/>
      <sz val="11"/>
      <color rgb="FFFFFFFF"/>
      <name val="Arial"/>
    </font>
    <font>
      <sz val="11"/>
      <color rgb="FF111827"/>
      <name val="Arial"/>
    </font>
    <font>
      <i/>
      <sz val="10"/>
      <color rgb="FF7C3AED"/>
      <name val="Arial"/>
    </font>
    <font>
      <b/>
      <sz val="11"/>
      <color rgb="FF1E3A8A"/>
      <name val="Arial"/>
    </font>
    <font>
      <b/>
      <sz val="11"/>
      <color rgb="FF92400E"/>
      <name val="Arial"/>
    </font>
    <font>
      <b/>
      <sz val="11"/>
      <color rgb="FF111827"/>
      <name val="Arial"/>
    </font>
    <font>
      <i/>
      <sz val="10"/>
      <color rgb="FF065F46"/>
      <name val="Arial"/>
    </font>
    <font>
      <sz val="10"/>
      <color rgb="FF111827"/>
      <name val="Arial"/>
    </font>
    <font>
      <i/>
      <sz val="10"/>
      <color rgb="FF4C1D95"/>
      <name val="Arial"/>
    </font>
    <font>
      <b/>
      <sz val="10"/>
      <color rgb="FFB91C1C"/>
      <name val="Arial"/>
    </font>
    <font>
      <sz val="11"/>
      <color theme="1"/>
      <name val="Calibri"/>
      <family val="2"/>
      <scheme val="minor"/>
    </font>
  </fonts>
  <fills count="13">
    <fill>
      <patternFill patternType="none"/>
    </fill>
    <fill>
      <patternFill patternType="gray125"/>
    </fill>
    <fill>
      <patternFill patternType="solid">
        <fgColor rgb="FFECFDF5"/>
      </patternFill>
    </fill>
    <fill>
      <patternFill patternType="solid">
        <fgColor rgb="FF1E3A8A"/>
      </patternFill>
    </fill>
    <fill>
      <patternFill patternType="solid">
        <fgColor rgb="FFDCFCE7"/>
      </patternFill>
    </fill>
    <fill>
      <patternFill patternType="solid">
        <fgColor rgb="FFFEF9C3"/>
      </patternFill>
    </fill>
    <fill>
      <patternFill patternType="solid">
        <fgColor rgb="FFF5F3FF"/>
      </patternFill>
    </fill>
    <fill>
      <patternFill patternType="solid">
        <fgColor rgb="FF1E40AF"/>
      </patternFill>
    </fill>
    <fill>
      <patternFill patternType="solid">
        <fgColor rgb="FFEFF6FF"/>
      </patternFill>
    </fill>
    <fill>
      <patternFill patternType="solid">
        <fgColor rgb="FFFFFBEB"/>
      </patternFill>
    </fill>
    <fill>
      <patternFill patternType="solid">
        <fgColor rgb="FFF5F5F5"/>
      </patternFill>
    </fill>
    <fill>
      <patternFill patternType="solid">
        <fgColor rgb="FFFFFFFF"/>
      </patternFill>
    </fill>
    <fill>
      <patternFill patternType="solid">
        <fgColor rgb="FFFCEBEB"/>
      </patternFill>
    </fill>
  </fills>
  <borders count="5">
    <border>
      <left/>
      <right/>
      <top/>
      <bottom/>
      <diagonal/>
    </border>
    <border>
      <left style="thin">
        <color rgb="FFD1D5DB"/>
      </left>
      <right style="thin">
        <color rgb="FFD1D5DB"/>
      </right>
      <top style="thin">
        <color rgb="FFD1D5DB"/>
      </top>
      <bottom style="thin">
        <color rgb="FFD1D5DB"/>
      </bottom>
      <diagonal/>
    </border>
    <border>
      <left/>
      <right/>
      <top style="thin">
        <color rgb="FFD1D5DB"/>
      </top>
      <bottom style="thin">
        <color rgb="FFD1D5DB"/>
      </bottom>
      <diagonal/>
    </border>
    <border>
      <left/>
      <right style="thin">
        <color rgb="FFD1D5DB"/>
      </right>
      <top style="thin">
        <color rgb="FFD1D5DB"/>
      </top>
      <bottom style="thin">
        <color rgb="FFD1D5DB"/>
      </bottom>
      <diagonal/>
    </border>
    <border>
      <left style="thin">
        <color rgb="FFD1D5DB"/>
      </left>
      <right style="thin">
        <color rgb="FFD1D5DB"/>
      </right>
      <top/>
      <bottom/>
      <diagonal/>
    </border>
  </borders>
  <cellStyleXfs count="2">
    <xf numFmtId="0" fontId="0" fillId="0" borderId="0"/>
    <xf numFmtId="9" fontId="12" fillId="0" borderId="0" applyFont="0" applyFill="0" applyBorder="0" applyAlignment="0" applyProtection="0"/>
  </cellStyleXfs>
  <cellXfs count="50">
    <xf numFmtId="0" fontId="0" fillId="0" borderId="0" xfId="0"/>
    <xf numFmtId="0" fontId="2" fillId="3" borderId="1" xfId="0" applyFont="1" applyFill="1" applyBorder="1" applyAlignment="1">
      <alignment horizontal="center" vertical="center"/>
    </xf>
    <xf numFmtId="0" fontId="3" fillId="0" borderId="1" xfId="0" applyFont="1" applyBorder="1" applyAlignment="1">
      <alignment horizontal="center" vertical="center"/>
    </xf>
    <xf numFmtId="0" fontId="3" fillId="0" borderId="1" xfId="0" applyFont="1" applyBorder="1" applyAlignment="1">
      <alignment horizontal="left" vertical="center"/>
    </xf>
    <xf numFmtId="3" fontId="3" fillId="0" borderId="1" xfId="0" applyNumberFormat="1" applyFont="1" applyBorder="1" applyAlignment="1">
      <alignment horizontal="left" vertical="center"/>
    </xf>
    <xf numFmtId="3" fontId="3" fillId="4" borderId="1" xfId="0" applyNumberFormat="1" applyFont="1" applyFill="1" applyBorder="1" applyAlignment="1">
      <alignment horizontal="left" vertical="center"/>
    </xf>
    <xf numFmtId="0" fontId="4" fillId="6" borderId="1" xfId="0" applyFont="1" applyFill="1" applyBorder="1" applyAlignment="1">
      <alignment horizontal="left" vertical="center"/>
    </xf>
    <xf numFmtId="0" fontId="3" fillId="5" borderId="1" xfId="0" applyFont="1" applyFill="1" applyBorder="1" applyAlignment="1">
      <alignment horizontal="left" vertical="center"/>
    </xf>
    <xf numFmtId="0" fontId="5" fillId="8" borderId="1" xfId="0" applyFont="1" applyFill="1" applyBorder="1" applyAlignment="1">
      <alignment horizontal="left" vertical="center"/>
    </xf>
    <xf numFmtId="3" fontId="3" fillId="5" borderId="1" xfId="0" applyNumberFormat="1" applyFont="1" applyFill="1" applyBorder="1" applyAlignment="1">
      <alignment horizontal="left" vertical="center"/>
    </xf>
    <xf numFmtId="0" fontId="7" fillId="0" borderId="1" xfId="0" applyFont="1" applyBorder="1" applyAlignment="1">
      <alignment horizontal="left" vertical="center"/>
    </xf>
    <xf numFmtId="0" fontId="8" fillId="0" borderId="0" xfId="0" applyFont="1" applyAlignment="1">
      <alignment horizontal="left" vertical="center"/>
    </xf>
    <xf numFmtId="0" fontId="3" fillId="10" borderId="1" xfId="0" applyFont="1" applyFill="1" applyBorder="1" applyAlignment="1">
      <alignment horizontal="left" vertical="center"/>
    </xf>
    <xf numFmtId="10" fontId="3" fillId="10" borderId="1" xfId="0" applyNumberFormat="1" applyFont="1" applyFill="1" applyBorder="1" applyAlignment="1">
      <alignment horizontal="left" vertical="center"/>
    </xf>
    <xf numFmtId="0" fontId="3" fillId="10" borderId="1" xfId="0" applyFont="1" applyFill="1" applyBorder="1" applyAlignment="1">
      <alignment horizontal="center" vertical="center"/>
    </xf>
    <xf numFmtId="0" fontId="9" fillId="10" borderId="1" xfId="0" applyFont="1" applyFill="1" applyBorder="1" applyAlignment="1">
      <alignment horizontal="left" vertical="center"/>
    </xf>
    <xf numFmtId="0" fontId="3" fillId="11" borderId="1" xfId="0" applyFont="1" applyFill="1" applyBorder="1" applyAlignment="1">
      <alignment horizontal="left" vertical="center"/>
    </xf>
    <xf numFmtId="10" fontId="3" fillId="11" borderId="1" xfId="0" applyNumberFormat="1" applyFont="1" applyFill="1" applyBorder="1" applyAlignment="1">
      <alignment horizontal="left" vertical="center"/>
    </xf>
    <xf numFmtId="0" fontId="3" fillId="11" borderId="1" xfId="0" applyFont="1" applyFill="1" applyBorder="1" applyAlignment="1">
      <alignment horizontal="center" vertical="center"/>
    </xf>
    <xf numFmtId="0" fontId="9" fillId="11" borderId="1" xfId="0" applyFont="1" applyFill="1" applyBorder="1" applyAlignment="1">
      <alignment horizontal="left" vertical="center"/>
    </xf>
    <xf numFmtId="0" fontId="3" fillId="8" borderId="1" xfId="0" applyFont="1" applyFill="1" applyBorder="1" applyAlignment="1">
      <alignment horizontal="left" vertical="center"/>
    </xf>
    <xf numFmtId="10" fontId="3" fillId="8" borderId="1" xfId="0" applyNumberFormat="1" applyFont="1" applyFill="1" applyBorder="1" applyAlignment="1">
      <alignment horizontal="left" vertical="center"/>
    </xf>
    <xf numFmtId="0" fontId="3" fillId="8" borderId="1" xfId="0" applyFont="1" applyFill="1" applyBorder="1" applyAlignment="1">
      <alignment horizontal="center" vertical="center"/>
    </xf>
    <xf numFmtId="0" fontId="9" fillId="8" borderId="1" xfId="0" applyFont="1" applyFill="1" applyBorder="1" applyAlignment="1">
      <alignment horizontal="left" vertical="center"/>
    </xf>
    <xf numFmtId="0" fontId="7" fillId="2" borderId="1" xfId="0" applyFont="1" applyFill="1" applyBorder="1" applyAlignment="1">
      <alignment horizontal="left" vertical="center"/>
    </xf>
    <xf numFmtId="10" fontId="3" fillId="2" borderId="1" xfId="0" applyNumberFormat="1" applyFont="1" applyFill="1" applyBorder="1" applyAlignment="1">
      <alignment horizontal="left" vertical="center"/>
    </xf>
    <xf numFmtId="0" fontId="3" fillId="2" borderId="1" xfId="0" applyFont="1" applyFill="1" applyBorder="1" applyAlignment="1">
      <alignment horizontal="center" vertical="center"/>
    </xf>
    <xf numFmtId="0" fontId="9" fillId="2" borderId="1" xfId="0" applyFont="1" applyFill="1" applyBorder="1" applyAlignment="1">
      <alignment horizontal="left" vertical="center"/>
    </xf>
    <xf numFmtId="0" fontId="4" fillId="6" borderId="0" xfId="0" applyFont="1" applyFill="1" applyAlignment="1">
      <alignment horizontal="left" vertical="center"/>
    </xf>
    <xf numFmtId="164" fontId="3" fillId="5" borderId="1" xfId="0" applyNumberFormat="1" applyFont="1" applyFill="1" applyBorder="1" applyAlignment="1">
      <alignment horizontal="left" vertical="center"/>
    </xf>
    <xf numFmtId="0" fontId="2" fillId="7" borderId="1" xfId="0" applyFont="1" applyFill="1" applyBorder="1" applyAlignment="1">
      <alignment horizontal="center" vertical="center"/>
    </xf>
    <xf numFmtId="9" fontId="3" fillId="5" borderId="1" xfId="0" applyNumberFormat="1" applyFont="1" applyFill="1" applyBorder="1" applyAlignment="1">
      <alignment horizontal="left" vertical="center"/>
    </xf>
    <xf numFmtId="0" fontId="2" fillId="7" borderId="1" xfId="0" applyFont="1" applyFill="1" applyBorder="1" applyAlignment="1">
      <alignment horizontal="left" vertical="center"/>
    </xf>
    <xf numFmtId="0" fontId="0" fillId="0" borderId="2" xfId="0" applyBorder="1"/>
    <xf numFmtId="0" fontId="0" fillId="0" borderId="3" xfId="0" applyBorder="1"/>
    <xf numFmtId="0" fontId="1" fillId="2" borderId="0" xfId="0" applyFont="1" applyFill="1" applyAlignment="1">
      <alignment horizontal="left" vertical="center" wrapText="1"/>
    </xf>
    <xf numFmtId="0" fontId="0" fillId="0" borderId="0" xfId="0"/>
    <xf numFmtId="0" fontId="6" fillId="9" borderId="0" xfId="0" applyFont="1" applyFill="1" applyAlignment="1">
      <alignment horizontal="left" vertical="center" wrapText="1"/>
    </xf>
    <xf numFmtId="0" fontId="3" fillId="0" borderId="1" xfId="0" applyFont="1" applyBorder="1" applyAlignment="1">
      <alignment horizontal="left" vertical="center"/>
    </xf>
    <xf numFmtId="0" fontId="8" fillId="0" borderId="0" xfId="0" applyFont="1" applyAlignment="1">
      <alignment horizontal="left" vertical="center"/>
    </xf>
    <xf numFmtId="0" fontId="10" fillId="0" borderId="0" xfId="0" applyFont="1" applyAlignment="1">
      <alignment horizontal="left" vertical="center"/>
    </xf>
    <xf numFmtId="0" fontId="5" fillId="8" borderId="0" xfId="0" applyFont="1" applyFill="1" applyAlignment="1">
      <alignment horizontal="left" vertical="center" wrapText="1"/>
    </xf>
    <xf numFmtId="0" fontId="11" fillId="12" borderId="1" xfId="0" applyFont="1" applyFill="1" applyBorder="1" applyAlignment="1">
      <alignment horizontal="left" vertical="center" wrapText="1"/>
    </xf>
    <xf numFmtId="0" fontId="0" fillId="0" borderId="0" xfId="0" pivotButton="1"/>
    <xf numFmtId="0" fontId="0" fillId="0" borderId="0" xfId="0" applyAlignment="1">
      <alignment horizontal="left"/>
    </xf>
    <xf numFmtId="3" fontId="0" fillId="0" borderId="0" xfId="0" applyNumberFormat="1"/>
    <xf numFmtId="0" fontId="0" fillId="0" borderId="0" xfId="0" applyAlignment="1">
      <alignment horizontal="left" indent="1"/>
    </xf>
    <xf numFmtId="10" fontId="0" fillId="0" borderId="0" xfId="0" applyNumberFormat="1"/>
    <xf numFmtId="0" fontId="3" fillId="0" borderId="4" xfId="0" applyFont="1" applyFill="1" applyBorder="1" applyAlignment="1">
      <alignment horizontal="left" vertical="center"/>
    </xf>
    <xf numFmtId="9" fontId="3" fillId="5" borderId="1" xfId="1" applyFont="1" applyFill="1" applyBorder="1" applyAlignment="1">
      <alignment horizontal="left" vertical="center"/>
    </xf>
  </cellXfs>
  <cellStyles count="2">
    <cellStyle name="Normal" xfId="0" builtinId="0"/>
    <cellStyle name="Percent" xfId="1" builtinId="5"/>
  </cellStyles>
  <dxfs count="38">
    <dxf>
      <font>
        <color rgb="FF9C5700"/>
      </font>
      <fill>
        <patternFill>
          <bgColor rgb="FFFFEB9C"/>
        </patternFill>
      </fill>
    </dxf>
    <dxf>
      <font>
        <color rgb="FF9C0006"/>
      </font>
      <fill>
        <patternFill>
          <bgColor rgb="FFFFC7CE"/>
        </patternFill>
      </fill>
    </dxf>
    <dxf>
      <border>
        <left style="thin">
          <color rgb="FF9C0006"/>
        </left>
        <right style="thin">
          <color rgb="FF9C0006"/>
        </right>
        <top style="thin">
          <color rgb="FF9C0006"/>
        </top>
        <bottom style="thin">
          <color rgb="FF9C0006"/>
        </bottom>
      </border>
    </dxf>
    <dxf>
      <border>
        <left style="thin">
          <color rgb="FF9C0006"/>
        </left>
        <right style="thin">
          <color rgb="FF9C0006"/>
        </right>
        <top style="thin">
          <color rgb="FF9C0006"/>
        </top>
        <bottom style="thin">
          <color rgb="FF9C0006"/>
        </bottom>
      </border>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border>
        <left style="thin">
          <color rgb="FF9C0006"/>
        </left>
        <right style="thin">
          <color rgb="FF9C0006"/>
        </right>
        <top style="thin">
          <color rgb="FF9C0006"/>
        </top>
        <bottom style="thin">
          <color rgb="FF9C0006"/>
        </bottom>
      </border>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border>
        <left style="thin">
          <color rgb="FF9C0006"/>
        </left>
        <right style="thin">
          <color rgb="FF9C0006"/>
        </right>
        <top style="thin">
          <color rgb="FF9C0006"/>
        </top>
        <bottom style="thin">
          <color rgb="FF9C0006"/>
        </bottom>
      </border>
    </dxf>
    <dxf>
      <font>
        <color rgb="FF006100"/>
      </font>
      <fill>
        <patternFill>
          <bgColor rgb="FFC6EFCE"/>
        </patternFill>
      </fill>
    </dxf>
    <dxf>
      <font>
        <color rgb="FF9C0006"/>
      </font>
      <fill>
        <patternFill>
          <bgColor rgb="FFFFC7CE"/>
        </patternFill>
      </fill>
    </dxf>
    <dxf>
      <font>
        <color rgb="FF9C0006"/>
      </font>
      <fill>
        <patternFill>
          <bgColor rgb="FFFFC7CE"/>
        </patternFill>
      </fill>
    </dxf>
    <dxf>
      <border>
        <left style="thin">
          <color rgb="FF9C0006"/>
        </left>
        <right style="thin">
          <color rgb="FF9C0006"/>
        </right>
        <top style="thin">
          <color rgb="FF9C0006"/>
        </top>
        <bottom style="thin">
          <color rgb="FF9C0006"/>
        </bottom>
      </border>
    </dxf>
    <dxf>
      <font>
        <color rgb="FF006100"/>
      </font>
      <fill>
        <patternFill>
          <bgColor rgb="FFC6EFCE"/>
        </patternFill>
      </fill>
    </dxf>
    <dxf>
      <font>
        <color rgb="FF9C0006"/>
      </font>
      <fill>
        <patternFill>
          <bgColor rgb="FFFFC7CE"/>
        </patternFill>
      </fill>
    </dxf>
    <dxf>
      <font>
        <color rgb="FF9C0006"/>
      </font>
      <fill>
        <patternFill>
          <bgColor rgb="FFFFC7CE"/>
        </patternFill>
      </fill>
    </dxf>
    <dxf>
      <border>
        <left style="thin">
          <color rgb="FF9C0006"/>
        </left>
        <right style="thin">
          <color rgb="FF9C0006"/>
        </right>
        <top style="thin">
          <color rgb="FF9C0006"/>
        </top>
        <bottom style="thin">
          <color rgb="FF9C0006"/>
        </bottom>
      </border>
    </dxf>
    <dxf>
      <font>
        <color rgb="FF006100"/>
      </font>
      <fill>
        <patternFill>
          <bgColor rgb="FFC6EFCE"/>
        </patternFill>
      </fill>
    </dxf>
    <dxf>
      <font>
        <color rgb="FF9C0006"/>
      </font>
      <fill>
        <patternFill>
          <bgColor rgb="FFFFC7CE"/>
        </patternFill>
      </fill>
    </dxf>
    <dxf>
      <font>
        <color rgb="FF9C0006"/>
      </font>
      <fill>
        <patternFill>
          <bgColor rgb="FFFFC7CE"/>
        </patternFill>
      </fill>
    </dxf>
    <dxf>
      <border>
        <left style="thin">
          <color rgb="FF9C0006"/>
        </left>
        <right style="thin">
          <color rgb="FF9C0006"/>
        </right>
        <top style="thin">
          <color rgb="FF9C0006"/>
        </top>
        <bottom style="thin">
          <color rgb="FF9C0006"/>
        </bottom>
      </border>
    </dxf>
    <dxf>
      <font>
        <color rgb="FF9C0006"/>
      </font>
      <fill>
        <patternFill>
          <bgColor rgb="FFFFC7CE"/>
        </patternFill>
      </fill>
    </dxf>
    <dxf>
      <font>
        <color rgb="FF9C0006"/>
      </font>
      <fill>
        <patternFill>
          <bgColor rgb="FFFFC7CE"/>
        </patternFill>
      </fill>
    </dxf>
    <dxf>
      <border>
        <left style="thin">
          <color rgb="FF9C0006"/>
        </left>
        <right style="thin">
          <color rgb="FF9C0006"/>
        </right>
        <top style="thin">
          <color rgb="FF9C0006"/>
        </top>
        <bottom style="thin">
          <color rgb="FF9C0006"/>
        </bottom>
      </border>
    </dxf>
    <dxf>
      <font>
        <color rgb="FF9C0006"/>
      </font>
      <fill>
        <patternFill>
          <bgColor rgb="FFFFC7CE"/>
        </patternFill>
      </fill>
    </dxf>
    <dxf>
      <border>
        <left style="thin">
          <color rgb="FF9C0006"/>
        </left>
        <right style="thin">
          <color rgb="FF9C0006"/>
        </right>
        <top style="thin">
          <color rgb="FF9C0006"/>
        </top>
        <bottom style="thin">
          <color rgb="FF9C0006"/>
        </bottom>
      </border>
    </dxf>
    <dxf>
      <font>
        <color rgb="FF9C0006"/>
      </font>
      <fill>
        <patternFill>
          <bgColor rgb="FFFFC7CE"/>
        </patternFill>
      </fill>
    </dxf>
    <dxf>
      <border>
        <left style="thin">
          <color rgb="FF9C0006"/>
        </left>
        <right style="thin">
          <color rgb="FF9C0006"/>
        </right>
        <top style="thin">
          <color rgb="FF9C0006"/>
        </top>
        <bottom style="thin">
          <color rgb="FF9C0006"/>
        </bottom>
      </border>
    </dxf>
    <dxf>
      <border>
        <left style="thin">
          <color rgb="FF9C0006"/>
        </left>
        <right style="thin">
          <color rgb="FF9C0006"/>
        </right>
        <top style="thin">
          <color rgb="FF9C0006"/>
        </top>
        <bottom style="thin">
          <color rgb="FF9C0006"/>
        </bottom>
      </border>
    </dxf>
    <dxf>
      <fill>
        <patternFill patternType="solid">
          <fgColor rgb="FFDCFCE7"/>
          <bgColor rgb="FFFFFFFF"/>
        </patternFill>
      </fill>
    </dxf>
    <dxf>
      <fill>
        <patternFill patternType="solid">
          <fgColor rgb="FF1E3A8A"/>
          <bgColor rgb="FFFFFFFF"/>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editAs="oneCell">
    <xdr:from>
      <xdr:col>1</xdr:col>
      <xdr:colOff>762000</xdr:colOff>
      <xdr:row>11</xdr:row>
      <xdr:rowOff>28575</xdr:rowOff>
    </xdr:from>
    <xdr:to>
      <xdr:col>3</xdr:col>
      <xdr:colOff>685800</xdr:colOff>
      <xdr:row>24</xdr:row>
      <xdr:rowOff>76200</xdr:rowOff>
    </xdr:to>
    <mc:AlternateContent xmlns:mc="http://schemas.openxmlformats.org/markup-compatibility/2006">
      <mc:Choice xmlns:a14="http://schemas.microsoft.com/office/drawing/2010/main" Requires="a14">
        <xdr:graphicFrame macro="">
          <xdr:nvGraphicFramePr>
            <xdr:cNvPr id="2" name="Region">
              <a:extLst>
                <a:ext uri="{FF2B5EF4-FFF2-40B4-BE49-F238E27FC236}">
                  <a16:creationId xmlns:a16="http://schemas.microsoft.com/office/drawing/2014/main" id="{ACD1330B-80DE-BA11-F295-D8A39D276A3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714500" y="21240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257175</xdr:colOff>
      <xdr:row>8</xdr:row>
      <xdr:rowOff>85725</xdr:rowOff>
    </xdr:from>
    <xdr:to>
      <xdr:col>8</xdr:col>
      <xdr:colOff>257175</xdr:colOff>
      <xdr:row>21</xdr:row>
      <xdr:rowOff>133350</xdr:rowOff>
    </xdr:to>
    <mc:AlternateContent xmlns:mc="http://schemas.openxmlformats.org/markup-compatibility/2006">
      <mc:Choice xmlns:a14="http://schemas.microsoft.com/office/drawing/2010/main" Requires="a14">
        <xdr:graphicFrame macro="">
          <xdr:nvGraphicFramePr>
            <xdr:cNvPr id="3" name="Product Name&#10;(XLOOKUP)">
              <a:extLst>
                <a:ext uri="{FF2B5EF4-FFF2-40B4-BE49-F238E27FC236}">
                  <a16:creationId xmlns:a16="http://schemas.microsoft.com/office/drawing/2014/main" id="{EBBFD6C7-9D59-EA69-73A6-79CD61F2B79A}"/>
                </a:ext>
              </a:extLst>
            </xdr:cNvPr>
            <xdr:cNvGraphicFramePr/>
          </xdr:nvGraphicFramePr>
          <xdr:xfrm>
            <a:off x="0" y="0"/>
            <a:ext cx="0" cy="0"/>
          </xdr:xfrm>
          <a:graphic>
            <a:graphicData uri="http://schemas.microsoft.com/office/drawing/2010/slicer">
              <sle:slicer xmlns:sle="http://schemas.microsoft.com/office/drawing/2010/slicer" name="Product Name&#10;(XLOOKUP)"/>
            </a:graphicData>
          </a:graphic>
        </xdr:graphicFrame>
      </mc:Choice>
      <mc:Fallback>
        <xdr:sp macro="" textlink="">
          <xdr:nvSpPr>
            <xdr:cNvPr id="0" name=""/>
            <xdr:cNvSpPr>
              <a:spLocks noTextEdit="1"/>
            </xdr:cNvSpPr>
          </xdr:nvSpPr>
          <xdr:spPr>
            <a:xfrm>
              <a:off x="4533900" y="16097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unjurul alam Piash" refreshedDate="46166.841337268517" createdVersion="8" refreshedVersion="8" minRefreshableVersion="3" recordCount="50" xr:uid="{26231FA4-8194-467A-9AB0-6CDABC5B7FD8}">
  <cacheSource type="worksheet">
    <worksheetSource ref="A2:I52" sheet="Sales Data"/>
  </cacheSource>
  <cacheFields count="9">
    <cacheField name="#" numFmtId="0">
      <sharedItems containsSemiMixedTypes="0" containsString="0" containsNumber="1" containsInteger="1" minValue="1" maxValue="50"/>
    </cacheField>
    <cacheField name="Product Code" numFmtId="0">
      <sharedItems/>
    </cacheField>
    <cacheField name="Region" numFmtId="0">
      <sharedItems count="5">
        <s v="CTG"/>
        <s v="Dhaka"/>
        <s v="Khulna"/>
        <s v="Rajshahi"/>
        <s v="Sylhet"/>
      </sharedItems>
    </cacheField>
    <cacheField name="Category" numFmtId="0">
      <sharedItems count="5">
        <s v="Furniture"/>
        <s v="Clothing"/>
        <s v="Electronics"/>
        <s v="Food"/>
        <s v="Stationery"/>
      </sharedItems>
    </cacheField>
    <cacheField name="Unit Price" numFmtId="3">
      <sharedItems containsSemiMixedTypes="0" containsString="0" containsNumber="1" containsInteger="1" minValue="150" maxValue="22000"/>
    </cacheField>
    <cacheField name="Qty" numFmtId="0">
      <sharedItems containsSemiMixedTypes="0" containsString="0" containsNumber="1" containsInteger="1" minValue="1" maxValue="15"/>
    </cacheField>
    <cacheField name="Sales" numFmtId="3">
      <sharedItems containsSemiMixedTypes="0" containsString="0" containsNumber="1" containsInteger="1" minValue="400" maxValue="220000"/>
    </cacheField>
    <cacheField name="Product Name_x000a_(XLOOKUP)" numFmtId="0">
      <sharedItems count="10">
        <s v="Oil"/>
        <s v="Pen"/>
        <s v="Laptop"/>
        <s v="Desk"/>
        <s v="Pants"/>
        <s v="Rice"/>
        <s v="Notebook"/>
        <s v="Chair"/>
        <s v="Phone"/>
        <s v="Shirt"/>
      </sharedItems>
    </cacheField>
    <cacheField name="Sales Category_x000a_(IFS)" numFmtId="0">
      <sharedItems/>
    </cacheField>
  </cacheFields>
  <extLst>
    <ext xmlns:x14="http://schemas.microsoft.com/office/spreadsheetml/2009/9/main" uri="{725AE2AE-9491-48be-B2B4-4EB974FC3084}">
      <x14:pivotCacheDefinition pivotCacheId="50763212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n v="21"/>
    <s v="P006"/>
    <x v="0"/>
    <x v="0"/>
    <n v="2500"/>
    <n v="15"/>
    <n v="37500"/>
    <x v="0"/>
    <s v="Premium"/>
  </r>
  <r>
    <n v="17"/>
    <s v="P009"/>
    <x v="0"/>
    <x v="1"/>
    <n v="5000"/>
    <n v="7"/>
    <n v="35000"/>
    <x v="1"/>
    <s v="Premium"/>
  </r>
  <r>
    <n v="19"/>
    <s v="P001"/>
    <x v="0"/>
    <x v="2"/>
    <n v="1200"/>
    <n v="7"/>
    <n v="8400"/>
    <x v="2"/>
    <s v="Standard"/>
  </r>
  <r>
    <n v="15"/>
    <s v="P006"/>
    <x v="0"/>
    <x v="3"/>
    <n v="1200"/>
    <n v="4"/>
    <n v="4800"/>
    <x v="0"/>
    <s v="Basic"/>
  </r>
  <r>
    <n v="22"/>
    <s v="P008"/>
    <x v="0"/>
    <x v="3"/>
    <n v="350"/>
    <n v="4"/>
    <n v="1400"/>
    <x v="3"/>
    <s v="Basic"/>
  </r>
  <r>
    <n v="43"/>
    <s v="P004"/>
    <x v="0"/>
    <x v="2"/>
    <n v="1200"/>
    <n v="1"/>
    <n v="1200"/>
    <x v="4"/>
    <s v="Basic"/>
  </r>
  <r>
    <n v="20"/>
    <s v="P005"/>
    <x v="1"/>
    <x v="1"/>
    <n v="12000"/>
    <n v="15"/>
    <n v="180000"/>
    <x v="5"/>
    <s v="Premium"/>
  </r>
  <r>
    <n v="37"/>
    <s v="P010"/>
    <x v="1"/>
    <x v="2"/>
    <n v="22000"/>
    <n v="8"/>
    <n v="176000"/>
    <x v="6"/>
    <s v="Premium"/>
  </r>
  <r>
    <n v="31"/>
    <s v="P008"/>
    <x v="1"/>
    <x v="3"/>
    <n v="8000"/>
    <n v="13"/>
    <n v="104000"/>
    <x v="3"/>
    <s v="Premium"/>
  </r>
  <r>
    <n v="16"/>
    <s v="P005"/>
    <x v="1"/>
    <x v="4"/>
    <n v="18000"/>
    <n v="3"/>
    <n v="54000"/>
    <x v="5"/>
    <s v="Premium"/>
  </r>
  <r>
    <n v="26"/>
    <s v="P001"/>
    <x v="1"/>
    <x v="1"/>
    <n v="18000"/>
    <n v="3"/>
    <n v="54000"/>
    <x v="2"/>
    <s v="Premium"/>
  </r>
  <r>
    <n v="11"/>
    <s v="P007"/>
    <x v="1"/>
    <x v="4"/>
    <n v="800"/>
    <n v="14"/>
    <n v="11200"/>
    <x v="7"/>
    <s v="Standard"/>
  </r>
  <r>
    <n v="29"/>
    <s v="P001"/>
    <x v="1"/>
    <x v="4"/>
    <n v="800"/>
    <n v="13"/>
    <n v="10400"/>
    <x v="2"/>
    <s v="Standard"/>
  </r>
  <r>
    <n v="30"/>
    <s v="P006"/>
    <x v="1"/>
    <x v="3"/>
    <n v="2500"/>
    <n v="3"/>
    <n v="7500"/>
    <x v="0"/>
    <s v="Normal"/>
  </r>
  <r>
    <n v="14"/>
    <s v="P004"/>
    <x v="1"/>
    <x v="0"/>
    <n v="800"/>
    <n v="8"/>
    <n v="6400"/>
    <x v="4"/>
    <s v="Normal"/>
  </r>
  <r>
    <n v="8"/>
    <s v="P006"/>
    <x v="1"/>
    <x v="2"/>
    <n v="2500"/>
    <n v="2"/>
    <n v="5000"/>
    <x v="0"/>
    <s v="Basic"/>
  </r>
  <r>
    <n v="1"/>
    <s v="P002"/>
    <x v="1"/>
    <x v="3"/>
    <n v="500"/>
    <n v="4"/>
    <n v="2000"/>
    <x v="8"/>
    <s v="Basic"/>
  </r>
  <r>
    <n v="2"/>
    <s v="P003"/>
    <x v="1"/>
    <x v="4"/>
    <n v="200"/>
    <n v="10"/>
    <n v="2000"/>
    <x v="9"/>
    <s v="Basic"/>
  </r>
  <r>
    <n v="13"/>
    <s v="P002"/>
    <x v="1"/>
    <x v="1"/>
    <n v="800"/>
    <n v="2"/>
    <n v="1600"/>
    <x v="8"/>
    <s v="Basic"/>
  </r>
  <r>
    <n v="45"/>
    <s v="P001"/>
    <x v="1"/>
    <x v="2"/>
    <n v="500"/>
    <n v="2"/>
    <n v="1000"/>
    <x v="2"/>
    <s v="Basic"/>
  </r>
  <r>
    <n v="3"/>
    <s v="P007"/>
    <x v="1"/>
    <x v="2"/>
    <n v="200"/>
    <n v="4"/>
    <n v="800"/>
    <x v="7"/>
    <s v="Basic"/>
  </r>
  <r>
    <n v="23"/>
    <s v="P009"/>
    <x v="2"/>
    <x v="3"/>
    <n v="22000"/>
    <n v="10"/>
    <n v="220000"/>
    <x v="1"/>
    <s v="Premium"/>
  </r>
  <r>
    <n v="18"/>
    <s v="P005"/>
    <x v="2"/>
    <x v="1"/>
    <n v="18000"/>
    <n v="6"/>
    <n v="108000"/>
    <x v="5"/>
    <s v="Premium"/>
  </r>
  <r>
    <n v="32"/>
    <s v="P003"/>
    <x v="2"/>
    <x v="2"/>
    <n v="18000"/>
    <n v="5"/>
    <n v="90000"/>
    <x v="9"/>
    <s v="Premium"/>
  </r>
  <r>
    <n v="44"/>
    <s v="P010"/>
    <x v="2"/>
    <x v="1"/>
    <n v="12000"/>
    <n v="4"/>
    <n v="48000"/>
    <x v="6"/>
    <s v="Premium"/>
  </r>
  <r>
    <n v="27"/>
    <s v="P007"/>
    <x v="2"/>
    <x v="2"/>
    <n v="2500"/>
    <n v="7"/>
    <n v="17500"/>
    <x v="7"/>
    <s v="Premium"/>
  </r>
  <r>
    <n v="39"/>
    <s v="P008"/>
    <x v="2"/>
    <x v="1"/>
    <n v="800"/>
    <n v="9"/>
    <n v="7200"/>
    <x v="3"/>
    <s v="Normal"/>
  </r>
  <r>
    <n v="48"/>
    <s v="P010"/>
    <x v="2"/>
    <x v="0"/>
    <n v="500"/>
    <n v="13"/>
    <n v="6500"/>
    <x v="6"/>
    <s v="Normal"/>
  </r>
  <r>
    <n v="24"/>
    <s v="P007"/>
    <x v="2"/>
    <x v="0"/>
    <n v="1200"/>
    <n v="4"/>
    <n v="4800"/>
    <x v="7"/>
    <s v="Basic"/>
  </r>
  <r>
    <n v="5"/>
    <s v="P004"/>
    <x v="2"/>
    <x v="0"/>
    <n v="500"/>
    <n v="8"/>
    <n v="4000"/>
    <x v="4"/>
    <s v="Basic"/>
  </r>
  <r>
    <n v="38"/>
    <s v="P002"/>
    <x v="2"/>
    <x v="1"/>
    <n v="350"/>
    <n v="11"/>
    <n v="3850"/>
    <x v="8"/>
    <s v="Basic"/>
  </r>
  <r>
    <n v="25"/>
    <s v="P003"/>
    <x v="2"/>
    <x v="0"/>
    <n v="200"/>
    <n v="13"/>
    <n v="2600"/>
    <x v="9"/>
    <s v="Basic"/>
  </r>
  <r>
    <n v="33"/>
    <s v="P009"/>
    <x v="2"/>
    <x v="1"/>
    <n v="350"/>
    <n v="6"/>
    <n v="2100"/>
    <x v="1"/>
    <s v="Basic"/>
  </r>
  <r>
    <n v="34"/>
    <s v="P003"/>
    <x v="2"/>
    <x v="4"/>
    <n v="150"/>
    <n v="10"/>
    <n v="1500"/>
    <x v="9"/>
    <s v="Basic"/>
  </r>
  <r>
    <n v="4"/>
    <s v="P004"/>
    <x v="2"/>
    <x v="4"/>
    <n v="150"/>
    <n v="9"/>
    <n v="1350"/>
    <x v="4"/>
    <s v="Basic"/>
  </r>
  <r>
    <n v="40"/>
    <s v="P010"/>
    <x v="3"/>
    <x v="1"/>
    <n v="8000"/>
    <n v="13"/>
    <n v="104000"/>
    <x v="6"/>
    <s v="Premium"/>
  </r>
  <r>
    <n v="47"/>
    <s v="P005"/>
    <x v="3"/>
    <x v="1"/>
    <n v="8000"/>
    <n v="3"/>
    <n v="24000"/>
    <x v="5"/>
    <s v="Premium"/>
  </r>
  <r>
    <n v="42"/>
    <s v="P006"/>
    <x v="3"/>
    <x v="4"/>
    <n v="5000"/>
    <n v="2"/>
    <n v="10000"/>
    <x v="0"/>
    <s v="Standard"/>
  </r>
  <r>
    <n v="28"/>
    <s v="P010"/>
    <x v="3"/>
    <x v="4"/>
    <n v="800"/>
    <n v="9"/>
    <n v="7200"/>
    <x v="6"/>
    <s v="Normal"/>
  </r>
  <r>
    <n v="10"/>
    <s v="P001"/>
    <x v="3"/>
    <x v="4"/>
    <n v="200"/>
    <n v="15"/>
    <n v="3000"/>
    <x v="2"/>
    <s v="Basic"/>
  </r>
  <r>
    <n v="35"/>
    <s v="P006"/>
    <x v="3"/>
    <x v="2"/>
    <n v="200"/>
    <n v="15"/>
    <n v="3000"/>
    <x v="0"/>
    <s v="Basic"/>
  </r>
  <r>
    <n v="49"/>
    <s v="P008"/>
    <x v="3"/>
    <x v="1"/>
    <n v="200"/>
    <n v="2"/>
    <n v="400"/>
    <x v="3"/>
    <s v="Basic"/>
  </r>
  <r>
    <n v="41"/>
    <s v="P004"/>
    <x v="4"/>
    <x v="0"/>
    <n v="18000"/>
    <n v="11"/>
    <n v="198000"/>
    <x v="4"/>
    <s v="Premium"/>
  </r>
  <r>
    <n v="46"/>
    <s v="P001"/>
    <x v="4"/>
    <x v="2"/>
    <n v="8000"/>
    <n v="4"/>
    <n v="32000"/>
    <x v="2"/>
    <s v="Premium"/>
  </r>
  <r>
    <n v="50"/>
    <s v="P007"/>
    <x v="4"/>
    <x v="0"/>
    <n v="2500"/>
    <n v="8"/>
    <n v="20000"/>
    <x v="7"/>
    <s v="Premium"/>
  </r>
  <r>
    <n v="9"/>
    <s v="P006"/>
    <x v="4"/>
    <x v="4"/>
    <n v="800"/>
    <n v="13"/>
    <n v="10400"/>
    <x v="0"/>
    <s v="Standard"/>
  </r>
  <r>
    <n v="12"/>
    <s v="P010"/>
    <x v="4"/>
    <x v="4"/>
    <n v="500"/>
    <n v="12"/>
    <n v="6000"/>
    <x v="6"/>
    <s v="Normal"/>
  </r>
  <r>
    <n v="6"/>
    <s v="P010"/>
    <x v="4"/>
    <x v="2"/>
    <n v="350"/>
    <n v="12"/>
    <n v="4200"/>
    <x v="6"/>
    <s v="Basic"/>
  </r>
  <r>
    <n v="7"/>
    <s v="P007"/>
    <x v="4"/>
    <x v="3"/>
    <n v="350"/>
    <n v="4"/>
    <n v="1400"/>
    <x v="7"/>
    <s v="Basic"/>
  </r>
  <r>
    <n v="36"/>
    <s v="P006"/>
    <x v="4"/>
    <x v="1"/>
    <n v="150"/>
    <n v="4"/>
    <n v="600"/>
    <x v="0"/>
    <s v="Basic"/>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8B8933A-7213-41C5-A33C-06865A8AB072}" name="PivotTable1"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31" firstHeaderRow="0" firstDataRow="1" firstDataCol="1"/>
  <pivotFields count="9">
    <pivotField showAll="0"/>
    <pivotField showAll="0"/>
    <pivotField axis="axisRow" showAll="0">
      <items count="6">
        <item x="0"/>
        <item x="1"/>
        <item x="2"/>
        <item x="3"/>
        <item x="4"/>
        <item t="default"/>
      </items>
    </pivotField>
    <pivotField axis="axisRow" showAll="0">
      <items count="6">
        <item x="1"/>
        <item x="2"/>
        <item x="3"/>
        <item x="0"/>
        <item x="4"/>
        <item t="default"/>
      </items>
    </pivotField>
    <pivotField dataField="1" numFmtId="3" showAll="0"/>
    <pivotField showAll="0"/>
    <pivotField dataField="1" numFmtId="3" showAll="0"/>
    <pivotField showAll="0">
      <items count="11">
        <item x="7"/>
        <item x="3"/>
        <item x="2"/>
        <item x="6"/>
        <item x="0"/>
        <item x="4"/>
        <item x="1"/>
        <item x="8"/>
        <item x="5"/>
        <item x="9"/>
        <item t="default"/>
      </items>
    </pivotField>
    <pivotField showAll="0"/>
  </pivotFields>
  <rowFields count="2">
    <field x="2"/>
    <field x="3"/>
  </rowFields>
  <rowItems count="28">
    <i>
      <x/>
    </i>
    <i r="1">
      <x/>
    </i>
    <i r="1">
      <x v="1"/>
    </i>
    <i r="1">
      <x v="2"/>
    </i>
    <i r="1">
      <x v="3"/>
    </i>
    <i>
      <x v="1"/>
    </i>
    <i r="1">
      <x/>
    </i>
    <i r="1">
      <x v="1"/>
    </i>
    <i r="1">
      <x v="2"/>
    </i>
    <i r="1">
      <x v="3"/>
    </i>
    <i r="1">
      <x v="4"/>
    </i>
    <i>
      <x v="2"/>
    </i>
    <i r="1">
      <x/>
    </i>
    <i r="1">
      <x v="1"/>
    </i>
    <i r="1">
      <x v="2"/>
    </i>
    <i r="1">
      <x v="3"/>
    </i>
    <i r="1">
      <x v="4"/>
    </i>
    <i>
      <x v="3"/>
    </i>
    <i r="1">
      <x/>
    </i>
    <i r="1">
      <x v="1"/>
    </i>
    <i r="1">
      <x v="4"/>
    </i>
    <i>
      <x v="4"/>
    </i>
    <i r="1">
      <x/>
    </i>
    <i r="1">
      <x v="1"/>
    </i>
    <i r="1">
      <x v="2"/>
    </i>
    <i r="1">
      <x v="3"/>
    </i>
    <i r="1">
      <x v="4"/>
    </i>
    <i t="grand">
      <x/>
    </i>
  </rowItems>
  <colFields count="1">
    <field x="-2"/>
  </colFields>
  <colItems count="2">
    <i>
      <x/>
    </i>
    <i i="1">
      <x v="1"/>
    </i>
  </colItems>
  <dataFields count="2">
    <dataField name="Sum of Sales" fld="6" showDataAs="percentOfTotal" baseField="0" baseItem="0" numFmtId="10"/>
    <dataField name="Sum of Unit Price" fld="4"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6C10623-8636-46AE-936C-5DF1181BF355}" sourceName="Region">
  <pivotTables>
    <pivotTable tabId="5" name="PivotTable1"/>
  </pivotTables>
  <data>
    <tabular pivotCacheId="507632120">
      <items count="5">
        <i x="0" s="1"/>
        <i x="1" s="1"/>
        <i x="2" s="1"/>
        <i x="3"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__XLOOKUP" xr10:uid="{28E718AE-C6A3-42CF-B36D-435FF9373B07}" sourceName="Product Name_x000a_(XLOOKUP)">
  <pivotTables>
    <pivotTable tabId="5" name="PivotTable1"/>
  </pivotTables>
  <data>
    <tabular pivotCacheId="507632120">
      <items count="10">
        <i x="7" s="1"/>
        <i x="3" s="1"/>
        <i x="2" s="1"/>
        <i x="6" s="1"/>
        <i x="0" s="1"/>
        <i x="4" s="1"/>
        <i x="1" s="1"/>
        <i x="8" s="1"/>
        <i x="5" s="1"/>
        <i x="9"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C0181DDD-7DD9-446F-90C5-DD1C0AE5E971}" cache="Slicer_Region" caption="Region" rowHeight="241300"/>
  <slicer name="Product Name_x000a_(XLOOKUP)" xr10:uid="{A49A2361-1B43-44CC-92DD-1EB841DDDA03}" cache="Slicer_Product_Name__XLOOKUP" caption="Product Name_x000a_(XLOOKUP)"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B9AF11-CB5A-4028-9057-E96E89C018EC}">
  <dimension ref="A3:C31"/>
  <sheetViews>
    <sheetView tabSelected="1" workbookViewId="0">
      <selection activeCell="A3" sqref="A3"/>
    </sheetView>
  </sheetViews>
  <sheetFormatPr defaultRowHeight="15" x14ac:dyDescent="0.25"/>
  <cols>
    <col min="1" max="1" width="14.28515625" bestFit="1" customWidth="1"/>
    <col min="2" max="2" width="12.140625" bestFit="1" customWidth="1"/>
    <col min="3" max="3" width="16.42578125" bestFit="1" customWidth="1"/>
    <col min="4" max="4" width="12.140625" bestFit="1" customWidth="1"/>
  </cols>
  <sheetData>
    <row r="3" spans="1:3" x14ac:dyDescent="0.25">
      <c r="A3" s="43" t="s">
        <v>98</v>
      </c>
      <c r="B3" t="s">
        <v>101</v>
      </c>
      <c r="C3" t="s">
        <v>100</v>
      </c>
    </row>
    <row r="4" spans="1:3" x14ac:dyDescent="0.25">
      <c r="A4" s="44" t="s">
        <v>46</v>
      </c>
      <c r="B4" s="47">
        <v>5.3651719528496782E-2</v>
      </c>
      <c r="C4" s="45">
        <v>11450</v>
      </c>
    </row>
    <row r="5" spans="1:3" x14ac:dyDescent="0.25">
      <c r="A5" s="46" t="s">
        <v>43</v>
      </c>
      <c r="B5" s="47">
        <v>2.1266253493741647E-2</v>
      </c>
      <c r="C5" s="45">
        <v>5000</v>
      </c>
    </row>
    <row r="6" spans="1:3" x14ac:dyDescent="0.25">
      <c r="A6" s="46" t="s">
        <v>23</v>
      </c>
      <c r="B6" s="47">
        <v>5.8330295297119939E-3</v>
      </c>
      <c r="C6" s="45">
        <v>2400</v>
      </c>
    </row>
    <row r="7" spans="1:3" x14ac:dyDescent="0.25">
      <c r="A7" s="46" t="s">
        <v>16</v>
      </c>
      <c r="B7" s="47">
        <v>3.7671649046056629E-3</v>
      </c>
      <c r="C7" s="45">
        <v>1550</v>
      </c>
    </row>
    <row r="8" spans="1:3" x14ac:dyDescent="0.25">
      <c r="A8" s="46" t="s">
        <v>28</v>
      </c>
      <c r="B8" s="47">
        <v>2.2785271600437477E-2</v>
      </c>
      <c r="C8" s="45">
        <v>2500</v>
      </c>
    </row>
    <row r="9" spans="1:3" x14ac:dyDescent="0.25">
      <c r="A9" s="44" t="s">
        <v>15</v>
      </c>
      <c r="B9" s="47">
        <v>0.37422530076558513</v>
      </c>
      <c r="C9" s="45">
        <v>87600</v>
      </c>
    </row>
    <row r="10" spans="1:3" x14ac:dyDescent="0.25">
      <c r="A10" s="46" t="s">
        <v>43</v>
      </c>
      <c r="B10" s="47">
        <v>0.14315226637501519</v>
      </c>
      <c r="C10" s="45">
        <v>30800</v>
      </c>
    </row>
    <row r="11" spans="1:3" x14ac:dyDescent="0.25">
      <c r="A11" s="46" t="s">
        <v>23</v>
      </c>
      <c r="B11" s="47">
        <v>0.11107060396159922</v>
      </c>
      <c r="C11" s="45">
        <v>25200</v>
      </c>
    </row>
    <row r="12" spans="1:3" x14ac:dyDescent="0.25">
      <c r="A12" s="46" t="s">
        <v>16</v>
      </c>
      <c r="B12" s="47">
        <v>6.8963422043990766E-2</v>
      </c>
      <c r="C12" s="45">
        <v>11000</v>
      </c>
    </row>
    <row r="13" spans="1:3" x14ac:dyDescent="0.25">
      <c r="A13" s="46" t="s">
        <v>28</v>
      </c>
      <c r="B13" s="47">
        <v>3.8886863531413293E-3</v>
      </c>
      <c r="C13" s="45">
        <v>800</v>
      </c>
    </row>
    <row r="14" spans="1:3" x14ac:dyDescent="0.25">
      <c r="A14" s="46" t="s">
        <v>20</v>
      </c>
      <c r="B14" s="47">
        <v>4.7150322031838617E-2</v>
      </c>
      <c r="C14" s="45">
        <v>19800</v>
      </c>
    </row>
    <row r="15" spans="1:3" x14ac:dyDescent="0.25">
      <c r="A15" s="44" t="s">
        <v>26</v>
      </c>
      <c r="B15" s="47">
        <v>0.31437598736176936</v>
      </c>
      <c r="C15" s="45">
        <v>76700</v>
      </c>
    </row>
    <row r="16" spans="1:3" x14ac:dyDescent="0.25">
      <c r="A16" s="46" t="s">
        <v>43</v>
      </c>
      <c r="B16" s="47">
        <v>0.10277676509903998</v>
      </c>
      <c r="C16" s="45">
        <v>31500</v>
      </c>
    </row>
    <row r="17" spans="1:3" x14ac:dyDescent="0.25">
      <c r="A17" s="46" t="s">
        <v>23</v>
      </c>
      <c r="B17" s="47">
        <v>6.5317778587920775E-2</v>
      </c>
      <c r="C17" s="45">
        <v>20500</v>
      </c>
    </row>
    <row r="18" spans="1:3" x14ac:dyDescent="0.25">
      <c r="A18" s="46" t="s">
        <v>16</v>
      </c>
      <c r="B18" s="47">
        <v>0.13367359338923321</v>
      </c>
      <c r="C18" s="45">
        <v>22000</v>
      </c>
    </row>
    <row r="19" spans="1:3" x14ac:dyDescent="0.25">
      <c r="A19" s="46" t="s">
        <v>28</v>
      </c>
      <c r="B19" s="47">
        <v>1.0876169643942156E-2</v>
      </c>
      <c r="C19" s="45">
        <v>2400</v>
      </c>
    </row>
    <row r="20" spans="1:3" x14ac:dyDescent="0.25">
      <c r="A20" s="46" t="s">
        <v>20</v>
      </c>
      <c r="B20" s="47">
        <v>1.7316806416332483E-3</v>
      </c>
      <c r="C20" s="45">
        <v>300</v>
      </c>
    </row>
    <row r="21" spans="1:3" x14ac:dyDescent="0.25">
      <c r="A21" s="44" t="s">
        <v>40</v>
      </c>
      <c r="B21" s="47">
        <v>9.2113257990035238E-2</v>
      </c>
      <c r="C21" s="45">
        <v>22400</v>
      </c>
    </row>
    <row r="22" spans="1:3" x14ac:dyDescent="0.25">
      <c r="A22" s="46" t="s">
        <v>43</v>
      </c>
      <c r="B22" s="47">
        <v>7.8016769959897925E-2</v>
      </c>
      <c r="C22" s="45">
        <v>16200</v>
      </c>
    </row>
    <row r="23" spans="1:3" x14ac:dyDescent="0.25">
      <c r="A23" s="46" t="s">
        <v>23</v>
      </c>
      <c r="B23" s="47">
        <v>1.8228217280349982E-3</v>
      </c>
      <c r="C23" s="45">
        <v>200</v>
      </c>
    </row>
    <row r="24" spans="1:3" x14ac:dyDescent="0.25">
      <c r="A24" s="46" t="s">
        <v>20</v>
      </c>
      <c r="B24" s="47">
        <v>1.2273666302102321E-2</v>
      </c>
      <c r="C24" s="45">
        <v>6000</v>
      </c>
    </row>
    <row r="25" spans="1:3" x14ac:dyDescent="0.25">
      <c r="A25" s="44" t="s">
        <v>32</v>
      </c>
      <c r="B25" s="47">
        <v>0.16563373435411349</v>
      </c>
      <c r="C25" s="45">
        <v>30650</v>
      </c>
    </row>
    <row r="26" spans="1:3" x14ac:dyDescent="0.25">
      <c r="A26" s="46" t="s">
        <v>43</v>
      </c>
      <c r="B26" s="47">
        <v>3.6456434560699962E-4</v>
      </c>
      <c r="C26" s="45">
        <v>150</v>
      </c>
    </row>
    <row r="27" spans="1:3" x14ac:dyDescent="0.25">
      <c r="A27" s="46" t="s">
        <v>23</v>
      </c>
      <c r="B27" s="47">
        <v>2.1995382184955645E-2</v>
      </c>
      <c r="C27" s="45">
        <v>8350</v>
      </c>
    </row>
    <row r="28" spans="1:3" x14ac:dyDescent="0.25">
      <c r="A28" s="46" t="s">
        <v>16</v>
      </c>
      <c r="B28" s="47">
        <v>8.5065013974966583E-4</v>
      </c>
      <c r="C28" s="45">
        <v>350</v>
      </c>
    </row>
    <row r="29" spans="1:3" x14ac:dyDescent="0.25">
      <c r="A29" s="46" t="s">
        <v>28</v>
      </c>
      <c r="B29" s="47">
        <v>0.13245837890387654</v>
      </c>
      <c r="C29" s="45">
        <v>20500</v>
      </c>
    </row>
    <row r="30" spans="1:3" x14ac:dyDescent="0.25">
      <c r="A30" s="46" t="s">
        <v>20</v>
      </c>
      <c r="B30" s="47">
        <v>9.9647587799246568E-3</v>
      </c>
      <c r="C30" s="45">
        <v>1300</v>
      </c>
    </row>
    <row r="31" spans="1:3" x14ac:dyDescent="0.25">
      <c r="A31" s="44" t="s">
        <v>99</v>
      </c>
      <c r="B31" s="47">
        <v>1</v>
      </c>
      <c r="C31" s="45">
        <v>228800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53"/>
  <sheetViews>
    <sheetView topLeftCell="A3" workbookViewId="0">
      <selection activeCell="J19" sqref="J19"/>
    </sheetView>
  </sheetViews>
  <sheetFormatPr defaultRowHeight="15" x14ac:dyDescent="0.25"/>
  <cols>
    <col min="1" max="1" width="5" customWidth="1"/>
    <col min="2" max="2" width="13" customWidth="1"/>
    <col min="3" max="3" width="11" customWidth="1"/>
    <col min="4" max="4" width="13" customWidth="1"/>
    <col min="5" max="5" width="11" customWidth="1"/>
    <col min="6" max="6" width="6" customWidth="1"/>
    <col min="7" max="7" width="11" customWidth="1"/>
    <col min="8" max="8" width="29.7109375" bestFit="1" customWidth="1"/>
    <col min="9" max="9" width="23" bestFit="1" customWidth="1"/>
    <col min="10" max="10" width="21.7109375" bestFit="1" customWidth="1"/>
    <col min="11" max="11" width="11" customWidth="1"/>
    <col min="12" max="12" width="2" customWidth="1"/>
    <col min="13" max="13" width="12" customWidth="1"/>
    <col min="14" max="14" width="14" customWidth="1"/>
  </cols>
  <sheetData>
    <row r="1" spans="1:16" ht="27.95" customHeight="1" x14ac:dyDescent="0.25">
      <c r="A1" s="35" t="s">
        <v>0</v>
      </c>
      <c r="B1" s="36"/>
      <c r="C1" s="36"/>
      <c r="D1" s="36"/>
      <c r="E1" s="36"/>
      <c r="F1" s="36"/>
      <c r="G1" s="36"/>
      <c r="H1" s="36"/>
      <c r="I1" s="36"/>
      <c r="J1" s="36"/>
      <c r="K1" s="36"/>
    </row>
    <row r="2" spans="1:16" x14ac:dyDescent="0.25">
      <c r="A2" s="1" t="s">
        <v>1</v>
      </c>
      <c r="B2" s="1" t="s">
        <v>2</v>
      </c>
      <c r="C2" s="1" t="s">
        <v>3</v>
      </c>
      <c r="D2" s="1" t="s">
        <v>4</v>
      </c>
      <c r="E2" s="1" t="s">
        <v>5</v>
      </c>
      <c r="F2" s="1" t="s">
        <v>6</v>
      </c>
      <c r="G2" s="1" t="s">
        <v>7</v>
      </c>
      <c r="H2" s="1" t="s">
        <v>8</v>
      </c>
      <c r="I2" s="1" t="s">
        <v>9</v>
      </c>
      <c r="J2" s="1" t="s">
        <v>10</v>
      </c>
      <c r="K2" s="1" t="s">
        <v>11</v>
      </c>
      <c r="M2" s="1" t="s">
        <v>12</v>
      </c>
      <c r="N2" s="1" t="s">
        <v>13</v>
      </c>
    </row>
    <row r="3" spans="1:16" x14ac:dyDescent="0.25">
      <c r="A3" s="2">
        <v>21</v>
      </c>
      <c r="B3" s="2" t="s">
        <v>33</v>
      </c>
      <c r="C3" s="3" t="s">
        <v>46</v>
      </c>
      <c r="D3" s="3" t="s">
        <v>28</v>
      </c>
      <c r="E3" s="4">
        <v>2500</v>
      </c>
      <c r="F3" s="2">
        <v>15</v>
      </c>
      <c r="G3" s="5">
        <f>E3*F3</f>
        <v>37500</v>
      </c>
      <c r="H3" s="6" t="str">
        <f>_xlfn.XLOOKUP(B3,$M$3:$M$12,$N$3:$N$12,"Not Found")</f>
        <v>Oil</v>
      </c>
      <c r="I3" s="6" t="str">
        <f>_xlfn.IFS(G3&gt;15000,"Premium",G3&gt;8000,"Standard",G3&gt;5000,"Normal",TRUE,"Basic")</f>
        <v>Premium</v>
      </c>
      <c r="J3" s="7"/>
      <c r="K3" s="5">
        <f>IF(J3="",G3,G3*(1-J3))</f>
        <v>37500</v>
      </c>
      <c r="M3" s="2" t="s">
        <v>17</v>
      </c>
      <c r="N3" s="3" t="s">
        <v>18</v>
      </c>
    </row>
    <row r="4" spans="1:16" x14ac:dyDescent="0.25">
      <c r="A4" s="2">
        <v>17</v>
      </c>
      <c r="B4" s="2" t="s">
        <v>38</v>
      </c>
      <c r="C4" s="3" t="s">
        <v>46</v>
      </c>
      <c r="D4" s="3" t="s">
        <v>43</v>
      </c>
      <c r="E4" s="4">
        <v>5000</v>
      </c>
      <c r="F4" s="2">
        <v>7</v>
      </c>
      <c r="G4" s="5">
        <f>E4*F4</f>
        <v>35000</v>
      </c>
      <c r="H4" s="6" t="str">
        <f>_xlfn.XLOOKUP(B4,$M$3:$M$12,$N$3:$N$12,"Not Found")</f>
        <v>Pen</v>
      </c>
      <c r="I4" s="6" t="str">
        <f>_xlfn.IFS(G4&gt;15000,"Premium",G4&gt;8000,"Standard",G4&gt;5000,"Normal",TRUE,"Basic")</f>
        <v>Premium</v>
      </c>
      <c r="J4" s="7"/>
      <c r="K4" s="5">
        <f>IF(J4="",G4,G4*(1-J4))</f>
        <v>35000</v>
      </c>
      <c r="M4" s="2" t="s">
        <v>14</v>
      </c>
      <c r="N4" s="3" t="s">
        <v>21</v>
      </c>
    </row>
    <row r="5" spans="1:16" x14ac:dyDescent="0.25">
      <c r="A5" s="2">
        <v>19</v>
      </c>
      <c r="B5" s="2" t="s">
        <v>17</v>
      </c>
      <c r="C5" s="3" t="s">
        <v>46</v>
      </c>
      <c r="D5" s="3" t="s">
        <v>23</v>
      </c>
      <c r="E5" s="4">
        <v>1200</v>
      </c>
      <c r="F5" s="2">
        <v>7</v>
      </c>
      <c r="G5" s="5">
        <f>E5*F5</f>
        <v>8400</v>
      </c>
      <c r="H5" s="6" t="str">
        <f>_xlfn.XLOOKUP(B5,$M$3:$M$12,$N$3:$N$12,"Not Found")</f>
        <v>Laptop</v>
      </c>
      <c r="I5" s="6" t="str">
        <f>_xlfn.IFS(G5&gt;15000,"Premium",G5&gt;8000,"Standard",G5&gt;5000,"Normal",TRUE,"Basic")</f>
        <v>Standard</v>
      </c>
      <c r="J5" s="7"/>
      <c r="K5" s="5">
        <f>IF(J5="",G5,G5*(1-J5))</f>
        <v>8400</v>
      </c>
      <c r="M5" s="2" t="s">
        <v>19</v>
      </c>
      <c r="N5" s="3" t="s">
        <v>24</v>
      </c>
    </row>
    <row r="6" spans="1:16" x14ac:dyDescent="0.25">
      <c r="A6" s="2">
        <v>15</v>
      </c>
      <c r="B6" s="2" t="s">
        <v>33</v>
      </c>
      <c r="C6" s="3" t="s">
        <v>46</v>
      </c>
      <c r="D6" s="3" t="s">
        <v>16</v>
      </c>
      <c r="E6" s="4">
        <v>1200</v>
      </c>
      <c r="F6" s="2">
        <v>4</v>
      </c>
      <c r="G6" s="5">
        <f>E6*F6</f>
        <v>4800</v>
      </c>
      <c r="H6" s="6" t="str">
        <f>_xlfn.XLOOKUP(B6,$M$3:$M$12,$N$3:$N$12,"Not Found")</f>
        <v>Oil</v>
      </c>
      <c r="I6" s="6" t="str">
        <f>_xlfn.IFS(G6&gt;15000,"Premium",G6&gt;8000,"Standard",G6&gt;5000,"Normal",TRUE,"Basic")</f>
        <v>Basic</v>
      </c>
      <c r="J6" s="7"/>
      <c r="K6" s="5">
        <f>IF(J6="",G6,G6*(1-J6))</f>
        <v>4800</v>
      </c>
      <c r="M6" s="2" t="s">
        <v>25</v>
      </c>
      <c r="N6" s="3" t="s">
        <v>27</v>
      </c>
    </row>
    <row r="7" spans="1:16" x14ac:dyDescent="0.25">
      <c r="A7" s="2">
        <v>22</v>
      </c>
      <c r="B7" s="2" t="s">
        <v>36</v>
      </c>
      <c r="C7" s="3" t="s">
        <v>46</v>
      </c>
      <c r="D7" s="3" t="s">
        <v>16</v>
      </c>
      <c r="E7" s="4">
        <v>350</v>
      </c>
      <c r="F7" s="2">
        <v>4</v>
      </c>
      <c r="G7" s="5">
        <f>E7*F7</f>
        <v>1400</v>
      </c>
      <c r="H7" s="6" t="str">
        <f>_xlfn.XLOOKUP(B7,$M$3:$M$12,$N$3:$N$12,"Not Found")</f>
        <v>Desk</v>
      </c>
      <c r="I7" s="6" t="str">
        <f>_xlfn.IFS(G7&gt;15000,"Premium",G7&gt;8000,"Standard",G7&gt;5000,"Normal",TRUE,"Basic")</f>
        <v>Basic</v>
      </c>
      <c r="J7" s="7"/>
      <c r="K7" s="5">
        <f>IF(J7="",G7,G7*(1-J7))</f>
        <v>1400</v>
      </c>
      <c r="M7" s="2" t="s">
        <v>29</v>
      </c>
      <c r="N7" s="3" t="s">
        <v>30</v>
      </c>
    </row>
    <row r="8" spans="1:16" x14ac:dyDescent="0.25">
      <c r="A8" s="2">
        <v>43</v>
      </c>
      <c r="B8" s="2" t="s">
        <v>25</v>
      </c>
      <c r="C8" s="3" t="s">
        <v>46</v>
      </c>
      <c r="D8" s="3" t="s">
        <v>23</v>
      </c>
      <c r="E8" s="4">
        <v>1200</v>
      </c>
      <c r="F8" s="2">
        <v>1</v>
      </c>
      <c r="G8" s="5">
        <f>E8*F8</f>
        <v>1200</v>
      </c>
      <c r="H8" s="6" t="str">
        <f>_xlfn.XLOOKUP(B8,$M$3:$M$12,$N$3:$N$12,"Not Found")</f>
        <v>Pants</v>
      </c>
      <c r="I8" s="6" t="str">
        <f>_xlfn.IFS(G8&gt;15000,"Premium",G8&gt;8000,"Standard",G8&gt;5000,"Normal",TRUE,"Basic")</f>
        <v>Basic</v>
      </c>
      <c r="J8" s="7"/>
      <c r="K8" s="5">
        <f>IF(J8="",G8,G8*(1-J8))</f>
        <v>1200</v>
      </c>
      <c r="M8" s="2" t="s">
        <v>33</v>
      </c>
      <c r="N8" s="3" t="s">
        <v>34</v>
      </c>
    </row>
    <row r="9" spans="1:16" x14ac:dyDescent="0.25">
      <c r="A9" s="2">
        <v>20</v>
      </c>
      <c r="B9" s="2" t="s">
        <v>29</v>
      </c>
      <c r="C9" s="3" t="s">
        <v>15</v>
      </c>
      <c r="D9" s="3" t="s">
        <v>43</v>
      </c>
      <c r="E9" s="4">
        <v>12000</v>
      </c>
      <c r="F9" s="2">
        <v>15</v>
      </c>
      <c r="G9" s="5">
        <f>E9*F9</f>
        <v>180000</v>
      </c>
      <c r="H9" s="6" t="str">
        <f>_xlfn.XLOOKUP(B9,$M$3:$M$12,$N$3:$N$12,"Not Found")</f>
        <v>Rice</v>
      </c>
      <c r="I9" s="6" t="str">
        <f>_xlfn.IFS(G9&gt;15000,"Premium",G9&gt;8000,"Standard",G9&gt;5000,"Normal",TRUE,"Basic")</f>
        <v>Premium</v>
      </c>
      <c r="J9" s="7"/>
      <c r="K9" s="5">
        <f>IF(J9="",G9,G9*(1-J9))</f>
        <v>180000</v>
      </c>
      <c r="M9" s="2" t="s">
        <v>22</v>
      </c>
      <c r="N9" s="3" t="s">
        <v>35</v>
      </c>
    </row>
    <row r="10" spans="1:16" x14ac:dyDescent="0.25">
      <c r="A10" s="2">
        <v>37</v>
      </c>
      <c r="B10" s="2" t="s">
        <v>31</v>
      </c>
      <c r="C10" s="3" t="s">
        <v>15</v>
      </c>
      <c r="D10" s="3" t="s">
        <v>23</v>
      </c>
      <c r="E10" s="4">
        <v>22000</v>
      </c>
      <c r="F10" s="2">
        <v>8</v>
      </c>
      <c r="G10" s="5">
        <f>E10*F10</f>
        <v>176000</v>
      </c>
      <c r="H10" s="6" t="str">
        <f>_xlfn.XLOOKUP(B10,$M$3:$M$12,$N$3:$N$12,"Not Found")</f>
        <v>Notebook</v>
      </c>
      <c r="I10" s="6" t="str">
        <f>_xlfn.IFS(G10&gt;15000,"Premium",G10&gt;8000,"Standard",G10&gt;5000,"Normal",TRUE,"Basic")</f>
        <v>Premium</v>
      </c>
      <c r="J10" s="7"/>
      <c r="K10" s="5">
        <f>IF(J10="",G10,G10*(1-J10))</f>
        <v>176000</v>
      </c>
      <c r="M10" s="2" t="s">
        <v>36</v>
      </c>
      <c r="N10" s="3" t="s">
        <v>37</v>
      </c>
    </row>
    <row r="11" spans="1:16" x14ac:dyDescent="0.25">
      <c r="A11" s="2">
        <v>31</v>
      </c>
      <c r="B11" s="2" t="s">
        <v>36</v>
      </c>
      <c r="C11" s="3" t="s">
        <v>15</v>
      </c>
      <c r="D11" s="3" t="s">
        <v>16</v>
      </c>
      <c r="E11" s="4">
        <v>8000</v>
      </c>
      <c r="F11" s="2">
        <v>13</v>
      </c>
      <c r="G11" s="5">
        <f>E11*F11</f>
        <v>104000</v>
      </c>
      <c r="H11" s="6" t="str">
        <f>_xlfn.XLOOKUP(B11,$M$3:$M$12,$N$3:$N$12,"Not Found")</f>
        <v>Desk</v>
      </c>
      <c r="I11" s="6" t="str">
        <f>_xlfn.IFS(G11&gt;15000,"Premium",G11&gt;8000,"Standard",G11&gt;5000,"Normal",TRUE,"Basic")</f>
        <v>Premium</v>
      </c>
      <c r="J11" s="7"/>
      <c r="K11" s="5">
        <f>IF(J11="",G11,G11*(1-J11))</f>
        <v>104000</v>
      </c>
      <c r="M11" s="2" t="s">
        <v>38</v>
      </c>
      <c r="N11" s="3" t="s">
        <v>39</v>
      </c>
    </row>
    <row r="12" spans="1:16" x14ac:dyDescent="0.25">
      <c r="A12" s="2">
        <v>16</v>
      </c>
      <c r="B12" s="2" t="s">
        <v>29</v>
      </c>
      <c r="C12" s="3" t="s">
        <v>15</v>
      </c>
      <c r="D12" s="3" t="s">
        <v>20</v>
      </c>
      <c r="E12" s="4">
        <v>18000</v>
      </c>
      <c r="F12" s="2">
        <v>3</v>
      </c>
      <c r="G12" s="5">
        <f>E12*F12</f>
        <v>54000</v>
      </c>
      <c r="H12" s="6" t="str">
        <f>_xlfn.XLOOKUP(B12,$M$3:$M$12,$N$3:$N$12,"Not Found")</f>
        <v>Rice</v>
      </c>
      <c r="I12" s="6" t="str">
        <f>_xlfn.IFS(G12&gt;15000,"Premium",G12&gt;8000,"Standard",G12&gt;5000,"Normal",TRUE,"Basic")</f>
        <v>Premium</v>
      </c>
      <c r="J12" s="7"/>
      <c r="K12" s="5">
        <f>IF(J12="",G12,G12*(1-J12))</f>
        <v>54000</v>
      </c>
      <c r="M12" s="2" t="s">
        <v>31</v>
      </c>
      <c r="N12" s="3" t="s">
        <v>41</v>
      </c>
    </row>
    <row r="13" spans="1:16" x14ac:dyDescent="0.25">
      <c r="A13" s="2">
        <v>26</v>
      </c>
      <c r="B13" s="2" t="s">
        <v>17</v>
      </c>
      <c r="C13" s="3" t="s">
        <v>15</v>
      </c>
      <c r="D13" s="3" t="s">
        <v>43</v>
      </c>
      <c r="E13" s="4">
        <v>18000</v>
      </c>
      <c r="F13" s="2">
        <v>3</v>
      </c>
      <c r="G13" s="5">
        <f>E13*F13</f>
        <v>54000</v>
      </c>
      <c r="H13" s="6" t="str">
        <f>_xlfn.XLOOKUP(B13,$M$3:$M$12,$N$3:$N$12,"Not Found")</f>
        <v>Laptop</v>
      </c>
      <c r="I13" s="6" t="str">
        <f>_xlfn.IFS(G13&gt;15000,"Premium",G13&gt;8000,"Standard",G13&gt;5000,"Normal",TRUE,"Basic")</f>
        <v>Premium</v>
      </c>
      <c r="J13" s="7"/>
      <c r="K13" s="5">
        <f>IF(J13="",G13,G13*(1-J13))</f>
        <v>54000</v>
      </c>
    </row>
    <row r="14" spans="1:16" x14ac:dyDescent="0.25">
      <c r="A14" s="2">
        <v>11</v>
      </c>
      <c r="B14" s="2" t="s">
        <v>22</v>
      </c>
      <c r="C14" s="3" t="s">
        <v>15</v>
      </c>
      <c r="D14" s="3" t="s">
        <v>20</v>
      </c>
      <c r="E14" s="4">
        <v>800</v>
      </c>
      <c r="F14" s="2">
        <v>14</v>
      </c>
      <c r="G14" s="5">
        <f>E14*F14</f>
        <v>11200</v>
      </c>
      <c r="H14" s="6" t="str">
        <f>_xlfn.XLOOKUP(B14,$M$3:$M$12,$N$3:$N$12,"Not Found")</f>
        <v>Chair</v>
      </c>
      <c r="I14" s="6" t="str">
        <f>_xlfn.IFS(G14&gt;15000,"Premium",G14&gt;8000,"Standard",G14&gt;5000,"Normal",TRUE,"Basic")</f>
        <v>Standard</v>
      </c>
      <c r="J14" s="7"/>
      <c r="K14" s="5">
        <f>IF(J14="",G14,G14*(1-J14))</f>
        <v>11200</v>
      </c>
      <c r="M14" s="32" t="s">
        <v>42</v>
      </c>
      <c r="N14" s="33"/>
      <c r="O14" s="33"/>
      <c r="P14" s="34"/>
    </row>
    <row r="15" spans="1:16" x14ac:dyDescent="0.25">
      <c r="A15" s="2">
        <v>29</v>
      </c>
      <c r="B15" s="2" t="s">
        <v>17</v>
      </c>
      <c r="C15" s="3" t="s">
        <v>15</v>
      </c>
      <c r="D15" s="3" t="s">
        <v>20</v>
      </c>
      <c r="E15" s="4">
        <v>800</v>
      </c>
      <c r="F15" s="2">
        <v>13</v>
      </c>
      <c r="G15" s="5">
        <f>E15*F15</f>
        <v>10400</v>
      </c>
      <c r="H15" s="6" t="str">
        <f>_xlfn.XLOOKUP(B15,$M$3:$M$12,$N$3:$N$12,"Not Found")</f>
        <v>Laptop</v>
      </c>
      <c r="I15" s="6" t="str">
        <f>_xlfn.IFS(G15&gt;15000,"Premium",G15&gt;8000,"Standard",G15&gt;5000,"Normal",TRUE,"Basic")</f>
        <v>Standard</v>
      </c>
      <c r="J15" s="7"/>
      <c r="K15" s="5">
        <f>IF(J15="",G15,G15*(1-J15))</f>
        <v>10400</v>
      </c>
      <c r="M15" s="8" t="s">
        <v>44</v>
      </c>
      <c r="N15" s="9">
        <f>SUM(K3:K52)</f>
        <v>1645600</v>
      </c>
    </row>
    <row r="16" spans="1:16" x14ac:dyDescent="0.25">
      <c r="A16" s="2">
        <v>30</v>
      </c>
      <c r="B16" s="2" t="s">
        <v>33</v>
      </c>
      <c r="C16" s="3" t="s">
        <v>15</v>
      </c>
      <c r="D16" s="3" t="s">
        <v>16</v>
      </c>
      <c r="E16" s="4">
        <v>2500</v>
      </c>
      <c r="F16" s="2">
        <v>3</v>
      </c>
      <c r="G16" s="5">
        <f>E16*F16</f>
        <v>7500</v>
      </c>
      <c r="H16" s="6" t="str">
        <f>_xlfn.XLOOKUP(B16,$M$3:$M$12,$N$3:$N$12,"Not Found")</f>
        <v>Oil</v>
      </c>
      <c r="I16" s="6" t="str">
        <f>_xlfn.IFS(G16&gt;15000,"Premium",G16&gt;8000,"Standard",G16&gt;5000,"Normal",TRUE,"Basic")</f>
        <v>Normal</v>
      </c>
      <c r="J16" s="7"/>
      <c r="K16" s="5">
        <f>IF(J16="",G16,G16*(1-J16))</f>
        <v>7500</v>
      </c>
      <c r="M16" s="8" t="s">
        <v>45</v>
      </c>
      <c r="N16" s="9">
        <f>AVERAGE(K3:K52)</f>
        <v>32912</v>
      </c>
    </row>
    <row r="17" spans="1:14" x14ac:dyDescent="0.25">
      <c r="A17" s="2">
        <v>14</v>
      </c>
      <c r="B17" s="2" t="s">
        <v>25</v>
      </c>
      <c r="C17" s="3" t="s">
        <v>15</v>
      </c>
      <c r="D17" s="3" t="s">
        <v>28</v>
      </c>
      <c r="E17" s="4">
        <v>800</v>
      </c>
      <c r="F17" s="2">
        <v>8</v>
      </c>
      <c r="G17" s="5">
        <f>E17*F17</f>
        <v>6400</v>
      </c>
      <c r="H17" s="6" t="str">
        <f>_xlfn.XLOOKUP(B17,$M$3:$M$12,$N$3:$N$12,"Not Found")</f>
        <v>Pants</v>
      </c>
      <c r="I17" s="6" t="str">
        <f>_xlfn.IFS(G17&gt;15000,"Premium",G17&gt;8000,"Standard",G17&gt;5000,"Normal",TRUE,"Basic")</f>
        <v>Normal</v>
      </c>
      <c r="J17" s="7"/>
      <c r="K17" s="5">
        <f>IF(J17="",G17,G17*(1-J17))</f>
        <v>6400</v>
      </c>
      <c r="M17" s="8" t="s">
        <v>47</v>
      </c>
      <c r="N17" s="9">
        <f>MAX(K3:K52)</f>
        <v>220000</v>
      </c>
    </row>
    <row r="18" spans="1:14" x14ac:dyDescent="0.25">
      <c r="A18" s="2">
        <v>8</v>
      </c>
      <c r="B18" s="2" t="s">
        <v>33</v>
      </c>
      <c r="C18" s="3" t="s">
        <v>15</v>
      </c>
      <c r="D18" s="3" t="s">
        <v>23</v>
      </c>
      <c r="E18" s="4">
        <v>2500</v>
      </c>
      <c r="F18" s="2">
        <v>2</v>
      </c>
      <c r="G18" s="5">
        <f>E18*F18</f>
        <v>5000</v>
      </c>
      <c r="H18" s="6" t="str">
        <f>_xlfn.XLOOKUP(B18,$M$3:$M$12,$N$3:$N$12,"Not Found")</f>
        <v>Oil</v>
      </c>
      <c r="I18" s="6" t="str">
        <f>_xlfn.IFS(G18&gt;15000,"Premium",G18&gt;8000,"Standard",G18&gt;5000,"Normal",TRUE,"Basic")</f>
        <v>Basic</v>
      </c>
      <c r="J18" s="7"/>
      <c r="K18" s="5">
        <f>IF(J18="",G18,G18*(1-J18))</f>
        <v>5000</v>
      </c>
      <c r="M18" s="8" t="s">
        <v>48</v>
      </c>
      <c r="N18" s="9">
        <f>MIN(K3:K52)</f>
        <v>400</v>
      </c>
    </row>
    <row r="19" spans="1:14" x14ac:dyDescent="0.25">
      <c r="A19" s="2">
        <v>1</v>
      </c>
      <c r="B19" s="2" t="s">
        <v>14</v>
      </c>
      <c r="C19" s="3" t="s">
        <v>15</v>
      </c>
      <c r="D19" s="3" t="s">
        <v>16</v>
      </c>
      <c r="E19" s="4">
        <v>500</v>
      </c>
      <c r="F19" s="2">
        <v>4</v>
      </c>
      <c r="G19" s="5">
        <f>E19*F19</f>
        <v>2000</v>
      </c>
      <c r="H19" s="6" t="str">
        <f>_xlfn.XLOOKUP(B19,$M$3:$M$12,$N$3:$N$12,"Not Found")</f>
        <v>Phone</v>
      </c>
      <c r="I19" s="6" t="str">
        <f>_xlfn.IFS(G19&gt;15000,"Premium",G19&gt;8000,"Standard",G19&gt;5000,"Normal",TRUE,"Basic")</f>
        <v>Basic</v>
      </c>
      <c r="J19" s="6">
        <f>IF(OR(C19="Dhaka",C19="CTG"),10%,5%)</f>
        <v>0.1</v>
      </c>
      <c r="K19" s="5">
        <f>IF(J19="",G19,G19*(1-J19))</f>
        <v>1800</v>
      </c>
      <c r="M19" s="8" t="s">
        <v>49</v>
      </c>
      <c r="N19" s="9">
        <f>SUM(K9:K23)</f>
        <v>615700</v>
      </c>
    </row>
    <row r="20" spans="1:14" x14ac:dyDescent="0.25">
      <c r="A20" s="2">
        <v>2</v>
      </c>
      <c r="B20" s="2" t="s">
        <v>19</v>
      </c>
      <c r="C20" s="3" t="s">
        <v>15</v>
      </c>
      <c r="D20" s="3" t="s">
        <v>20</v>
      </c>
      <c r="E20" s="4">
        <v>200</v>
      </c>
      <c r="F20" s="2">
        <v>10</v>
      </c>
      <c r="G20" s="5">
        <f>E20*F20</f>
        <v>2000</v>
      </c>
      <c r="H20" s="6" t="str">
        <f>_xlfn.XLOOKUP(B20,$M$3:$M$12,$N$3:$N$12,"Not Found")</f>
        <v>Shirt</v>
      </c>
      <c r="I20" s="6" t="str">
        <f>_xlfn.IFS(G20&gt;15000,"Premium",G20&gt;8000,"Standard",G20&gt;5000,"Normal",TRUE,"Basic")</f>
        <v>Basic</v>
      </c>
      <c r="J20" s="7"/>
      <c r="K20" s="5">
        <f>IF(J20="",G20,G20*(1-J20))</f>
        <v>2000</v>
      </c>
    </row>
    <row r="21" spans="1:14" x14ac:dyDescent="0.25">
      <c r="A21" s="2">
        <v>13</v>
      </c>
      <c r="B21" s="2" t="s">
        <v>14</v>
      </c>
      <c r="C21" s="3" t="s">
        <v>15</v>
      </c>
      <c r="D21" s="3" t="s">
        <v>43</v>
      </c>
      <c r="E21" s="4">
        <v>800</v>
      </c>
      <c r="F21" s="2">
        <v>2</v>
      </c>
      <c r="G21" s="5">
        <f>E21*F21</f>
        <v>1600</v>
      </c>
      <c r="H21" s="6" t="str">
        <f>_xlfn.XLOOKUP(B21,$M$3:$M$12,$N$3:$N$12,"Not Found")</f>
        <v>Phone</v>
      </c>
      <c r="I21" s="6" t="str">
        <f>_xlfn.IFS(G21&gt;15000,"Premium",G21&gt;8000,"Standard",G21&gt;5000,"Normal",TRUE,"Basic")</f>
        <v>Basic</v>
      </c>
      <c r="J21" s="7"/>
      <c r="K21" s="5">
        <f>IF(J21="",G21,G21*(1-J21))</f>
        <v>1600</v>
      </c>
    </row>
    <row r="22" spans="1:14" x14ac:dyDescent="0.25">
      <c r="A22" s="2">
        <v>45</v>
      </c>
      <c r="B22" s="2" t="s">
        <v>17</v>
      </c>
      <c r="C22" s="3" t="s">
        <v>15</v>
      </c>
      <c r="D22" s="3" t="s">
        <v>23</v>
      </c>
      <c r="E22" s="4">
        <v>500</v>
      </c>
      <c r="F22" s="2">
        <v>2</v>
      </c>
      <c r="G22" s="5">
        <f>E22*F22</f>
        <v>1000</v>
      </c>
      <c r="H22" s="6" t="str">
        <f>_xlfn.XLOOKUP(B22,$M$3:$M$12,$N$3:$N$12,"Not Found")</f>
        <v>Laptop</v>
      </c>
      <c r="I22" s="6" t="str">
        <f>_xlfn.IFS(G22&gt;15000,"Premium",G22&gt;8000,"Standard",G22&gt;5000,"Normal",TRUE,"Basic")</f>
        <v>Basic</v>
      </c>
      <c r="J22" s="7"/>
      <c r="K22" s="5">
        <f>IF(J22="",G22,G22*(1-J22))</f>
        <v>1000</v>
      </c>
    </row>
    <row r="23" spans="1:14" x14ac:dyDescent="0.25">
      <c r="A23" s="2">
        <v>3</v>
      </c>
      <c r="B23" s="2" t="s">
        <v>22</v>
      </c>
      <c r="C23" s="3" t="s">
        <v>15</v>
      </c>
      <c r="D23" s="3" t="s">
        <v>23</v>
      </c>
      <c r="E23" s="4">
        <v>200</v>
      </c>
      <c r="F23" s="2">
        <v>4</v>
      </c>
      <c r="G23" s="5">
        <f>E23*F23</f>
        <v>800</v>
      </c>
      <c r="H23" s="6" t="str">
        <f>_xlfn.XLOOKUP(B23,$M$3:$M$12,$N$3:$N$12,"Not Found")</f>
        <v>Chair</v>
      </c>
      <c r="I23" s="6" t="str">
        <f>_xlfn.IFS(G23&gt;15000,"Premium",G23&gt;8000,"Standard",G23&gt;5000,"Normal",TRUE,"Basic")</f>
        <v>Basic</v>
      </c>
      <c r="J23" s="7"/>
      <c r="K23" s="5">
        <f>IF(J23="",G23,G23*(1-J23))</f>
        <v>800</v>
      </c>
    </row>
    <row r="24" spans="1:14" x14ac:dyDescent="0.25">
      <c r="A24" s="2">
        <v>23</v>
      </c>
      <c r="B24" s="2" t="s">
        <v>38</v>
      </c>
      <c r="C24" s="3" t="s">
        <v>26</v>
      </c>
      <c r="D24" s="3" t="s">
        <v>16</v>
      </c>
      <c r="E24" s="4">
        <v>22000</v>
      </c>
      <c r="F24" s="2">
        <v>10</v>
      </c>
      <c r="G24" s="5">
        <f>E24*F24</f>
        <v>220000</v>
      </c>
      <c r="H24" s="6" t="str">
        <f>_xlfn.XLOOKUP(B24,$M$3:$M$12,$N$3:$N$12,"Not Found")</f>
        <v>Pen</v>
      </c>
      <c r="I24" s="6" t="str">
        <f>_xlfn.IFS(G24&gt;15000,"Premium",G24&gt;8000,"Standard",G24&gt;5000,"Normal",TRUE,"Basic")</f>
        <v>Premium</v>
      </c>
      <c r="J24" s="7"/>
      <c r="K24" s="5">
        <f>IF(J24="",G24,G24*(1-J24))</f>
        <v>220000</v>
      </c>
    </row>
    <row r="25" spans="1:14" x14ac:dyDescent="0.25">
      <c r="A25" s="2">
        <v>18</v>
      </c>
      <c r="B25" s="2" t="s">
        <v>29</v>
      </c>
      <c r="C25" s="3" t="s">
        <v>26</v>
      </c>
      <c r="D25" s="3" t="s">
        <v>43</v>
      </c>
      <c r="E25" s="4">
        <v>18000</v>
      </c>
      <c r="F25" s="2">
        <v>6</v>
      </c>
      <c r="G25" s="5">
        <f>E25*F25</f>
        <v>108000</v>
      </c>
      <c r="H25" s="6" t="str">
        <f>_xlfn.XLOOKUP(B25,$M$3:$M$12,$N$3:$N$12,"Not Found")</f>
        <v>Rice</v>
      </c>
      <c r="I25" s="6" t="str">
        <f>_xlfn.IFS(G25&gt;15000,"Premium",G25&gt;8000,"Standard",G25&gt;5000,"Normal",TRUE,"Basic")</f>
        <v>Premium</v>
      </c>
      <c r="J25" s="7"/>
      <c r="K25" s="5">
        <f>IF(J25="",G25,G25*(1-J25))</f>
        <v>108000</v>
      </c>
    </row>
    <row r="26" spans="1:14" x14ac:dyDescent="0.25">
      <c r="A26" s="2">
        <v>32</v>
      </c>
      <c r="B26" s="2" t="s">
        <v>19</v>
      </c>
      <c r="C26" s="3" t="s">
        <v>26</v>
      </c>
      <c r="D26" s="3" t="s">
        <v>23</v>
      </c>
      <c r="E26" s="4">
        <v>18000</v>
      </c>
      <c r="F26" s="2">
        <v>5</v>
      </c>
      <c r="G26" s="5">
        <f>E26*F26</f>
        <v>90000</v>
      </c>
      <c r="H26" s="6" t="str">
        <f>_xlfn.XLOOKUP(B26,$M$3:$M$12,$N$3:$N$12,"Not Found")</f>
        <v>Shirt</v>
      </c>
      <c r="I26" s="6" t="str">
        <f>_xlfn.IFS(G26&gt;15000,"Premium",G26&gt;8000,"Standard",G26&gt;5000,"Normal",TRUE,"Basic")</f>
        <v>Premium</v>
      </c>
      <c r="J26" s="7"/>
      <c r="K26" s="5">
        <f>IF(J26="",G26,G26*(1-J26))</f>
        <v>90000</v>
      </c>
    </row>
    <row r="27" spans="1:14" x14ac:dyDescent="0.25">
      <c r="A27" s="2">
        <v>44</v>
      </c>
      <c r="B27" s="2" t="s">
        <v>31</v>
      </c>
      <c r="C27" s="3" t="s">
        <v>26</v>
      </c>
      <c r="D27" s="3" t="s">
        <v>43</v>
      </c>
      <c r="E27" s="4">
        <v>12000</v>
      </c>
      <c r="F27" s="2">
        <v>4</v>
      </c>
      <c r="G27" s="5">
        <f>E27*F27</f>
        <v>48000</v>
      </c>
      <c r="H27" s="6" t="str">
        <f>_xlfn.XLOOKUP(B27,$M$3:$M$12,$N$3:$N$12,"Not Found")</f>
        <v>Notebook</v>
      </c>
      <c r="I27" s="6" t="str">
        <f>_xlfn.IFS(G27&gt;15000,"Premium",G27&gt;8000,"Standard",G27&gt;5000,"Normal",TRUE,"Basic")</f>
        <v>Premium</v>
      </c>
      <c r="J27" s="7"/>
      <c r="K27" s="5">
        <f>IF(J27="",G27,G27*(1-J27))</f>
        <v>48000</v>
      </c>
    </row>
    <row r="28" spans="1:14" x14ac:dyDescent="0.25">
      <c r="A28" s="2">
        <v>27</v>
      </c>
      <c r="B28" s="2" t="s">
        <v>22</v>
      </c>
      <c r="C28" s="3" t="s">
        <v>26</v>
      </c>
      <c r="D28" s="3" t="s">
        <v>23</v>
      </c>
      <c r="E28" s="4">
        <v>2500</v>
      </c>
      <c r="F28" s="2">
        <v>7</v>
      </c>
      <c r="G28" s="5">
        <f>E28*F28</f>
        <v>17500</v>
      </c>
      <c r="H28" s="6" t="str">
        <f>_xlfn.XLOOKUP(B28,$M$3:$M$12,$N$3:$N$12,"Not Found")</f>
        <v>Chair</v>
      </c>
      <c r="I28" s="6" t="str">
        <f>_xlfn.IFS(G28&gt;15000,"Premium",G28&gt;8000,"Standard",G28&gt;5000,"Normal",TRUE,"Basic")</f>
        <v>Premium</v>
      </c>
      <c r="J28" s="7"/>
      <c r="K28" s="5">
        <f>IF(J28="",G28,G28*(1-J28))</f>
        <v>17500</v>
      </c>
    </row>
    <row r="29" spans="1:14" x14ac:dyDescent="0.25">
      <c r="A29" s="2">
        <v>39</v>
      </c>
      <c r="B29" s="2" t="s">
        <v>36</v>
      </c>
      <c r="C29" s="3" t="s">
        <v>26</v>
      </c>
      <c r="D29" s="3" t="s">
        <v>43</v>
      </c>
      <c r="E29" s="4">
        <v>800</v>
      </c>
      <c r="F29" s="2">
        <v>9</v>
      </c>
      <c r="G29" s="5">
        <f>E29*F29</f>
        <v>7200</v>
      </c>
      <c r="H29" s="6" t="str">
        <f>_xlfn.XLOOKUP(B29,$M$3:$M$12,$N$3:$N$12,"Not Found")</f>
        <v>Desk</v>
      </c>
      <c r="I29" s="6" t="str">
        <f>_xlfn.IFS(G29&gt;15000,"Premium",G29&gt;8000,"Standard",G29&gt;5000,"Normal",TRUE,"Basic")</f>
        <v>Normal</v>
      </c>
      <c r="J29" s="7"/>
      <c r="K29" s="5">
        <f>IF(J29="",G29,G29*(1-J29))</f>
        <v>7200</v>
      </c>
    </row>
    <row r="30" spans="1:14" x14ac:dyDescent="0.25">
      <c r="A30" s="2">
        <v>48</v>
      </c>
      <c r="B30" s="2" t="s">
        <v>31</v>
      </c>
      <c r="C30" s="3" t="s">
        <v>26</v>
      </c>
      <c r="D30" s="3" t="s">
        <v>28</v>
      </c>
      <c r="E30" s="4">
        <v>500</v>
      </c>
      <c r="F30" s="2">
        <v>13</v>
      </c>
      <c r="G30" s="5">
        <f>E30*F30</f>
        <v>6500</v>
      </c>
      <c r="H30" s="6" t="str">
        <f>_xlfn.XLOOKUP(B30,$M$3:$M$12,$N$3:$N$12,"Not Found")</f>
        <v>Notebook</v>
      </c>
      <c r="I30" s="6" t="str">
        <f>_xlfn.IFS(G30&gt;15000,"Premium",G30&gt;8000,"Standard",G30&gt;5000,"Normal",TRUE,"Basic")</f>
        <v>Normal</v>
      </c>
      <c r="J30" s="7"/>
      <c r="K30" s="5">
        <f>IF(J30="",G30,G30*(1-J30))</f>
        <v>6500</v>
      </c>
    </row>
    <row r="31" spans="1:14" x14ac:dyDescent="0.25">
      <c r="A31" s="2">
        <v>24</v>
      </c>
      <c r="B31" s="2" t="s">
        <v>22</v>
      </c>
      <c r="C31" s="3" t="s">
        <v>26</v>
      </c>
      <c r="D31" s="3" t="s">
        <v>28</v>
      </c>
      <c r="E31" s="4">
        <v>1200</v>
      </c>
      <c r="F31" s="2">
        <v>4</v>
      </c>
      <c r="G31" s="5">
        <f>E31*F31</f>
        <v>4800</v>
      </c>
      <c r="H31" s="6" t="str">
        <f>_xlfn.XLOOKUP(B31,$M$3:$M$12,$N$3:$N$12,"Not Found")</f>
        <v>Chair</v>
      </c>
      <c r="I31" s="6" t="str">
        <f>_xlfn.IFS(G31&gt;15000,"Premium",G31&gt;8000,"Standard",G31&gt;5000,"Normal",TRUE,"Basic")</f>
        <v>Basic</v>
      </c>
      <c r="J31" s="7"/>
      <c r="K31" s="5">
        <f>IF(J31="",G31,G31*(1-J31))</f>
        <v>4800</v>
      </c>
    </row>
    <row r="32" spans="1:14" x14ac:dyDescent="0.25">
      <c r="A32" s="2">
        <v>5</v>
      </c>
      <c r="B32" s="2" t="s">
        <v>25</v>
      </c>
      <c r="C32" s="3" t="s">
        <v>26</v>
      </c>
      <c r="D32" s="3" t="s">
        <v>28</v>
      </c>
      <c r="E32" s="4">
        <v>500</v>
      </c>
      <c r="F32" s="2">
        <v>8</v>
      </c>
      <c r="G32" s="5">
        <f>E32*F32</f>
        <v>4000</v>
      </c>
      <c r="H32" s="6" t="str">
        <f>_xlfn.XLOOKUP(B32,$M$3:$M$12,$N$3:$N$12,"Not Found")</f>
        <v>Pants</v>
      </c>
      <c r="I32" s="6" t="str">
        <f>_xlfn.IFS(G32&gt;15000,"Premium",G32&gt;8000,"Standard",G32&gt;5000,"Normal",TRUE,"Basic")</f>
        <v>Basic</v>
      </c>
      <c r="J32" s="7"/>
      <c r="K32" s="5">
        <f>IF(J32="",G32,G32*(1-J32))</f>
        <v>4000</v>
      </c>
    </row>
    <row r="33" spans="1:11" x14ac:dyDescent="0.25">
      <c r="A33" s="2">
        <v>38</v>
      </c>
      <c r="B33" s="2" t="s">
        <v>14</v>
      </c>
      <c r="C33" s="3" t="s">
        <v>26</v>
      </c>
      <c r="D33" s="3" t="s">
        <v>43</v>
      </c>
      <c r="E33" s="4">
        <v>350</v>
      </c>
      <c r="F33" s="2">
        <v>11</v>
      </c>
      <c r="G33" s="5">
        <f>E33*F33</f>
        <v>3850</v>
      </c>
      <c r="H33" s="6" t="str">
        <f>_xlfn.XLOOKUP(B33,$M$3:$M$12,$N$3:$N$12,"Not Found")</f>
        <v>Phone</v>
      </c>
      <c r="I33" s="6" t="str">
        <f>_xlfn.IFS(G33&gt;15000,"Premium",G33&gt;8000,"Standard",G33&gt;5000,"Normal",TRUE,"Basic")</f>
        <v>Basic</v>
      </c>
      <c r="J33" s="7"/>
      <c r="K33" s="5">
        <f>IF(J33="",G33,G33*(1-J33))</f>
        <v>3850</v>
      </c>
    </row>
    <row r="34" spans="1:11" x14ac:dyDescent="0.25">
      <c r="A34" s="2">
        <v>25</v>
      </c>
      <c r="B34" s="2" t="s">
        <v>19</v>
      </c>
      <c r="C34" s="3" t="s">
        <v>26</v>
      </c>
      <c r="D34" s="3" t="s">
        <v>28</v>
      </c>
      <c r="E34" s="4">
        <v>200</v>
      </c>
      <c r="F34" s="2">
        <v>13</v>
      </c>
      <c r="G34" s="5">
        <f>E34*F34</f>
        <v>2600</v>
      </c>
      <c r="H34" s="6" t="str">
        <f>_xlfn.XLOOKUP(B34,$M$3:$M$12,$N$3:$N$12,"Not Found")</f>
        <v>Shirt</v>
      </c>
      <c r="I34" s="6" t="str">
        <f>_xlfn.IFS(G34&gt;15000,"Premium",G34&gt;8000,"Standard",G34&gt;5000,"Normal",TRUE,"Basic")</f>
        <v>Basic</v>
      </c>
      <c r="J34" s="7"/>
      <c r="K34" s="5">
        <f>IF(J34="",G34,G34*(1-J34))</f>
        <v>2600</v>
      </c>
    </row>
    <row r="35" spans="1:11" x14ac:dyDescent="0.25">
      <c r="A35" s="2">
        <v>33</v>
      </c>
      <c r="B35" s="2" t="s">
        <v>38</v>
      </c>
      <c r="C35" s="3" t="s">
        <v>26</v>
      </c>
      <c r="D35" s="3" t="s">
        <v>43</v>
      </c>
      <c r="E35" s="4">
        <v>350</v>
      </c>
      <c r="F35" s="2">
        <v>6</v>
      </c>
      <c r="G35" s="5">
        <f>E35*F35</f>
        <v>2100</v>
      </c>
      <c r="H35" s="6" t="str">
        <f>_xlfn.XLOOKUP(B35,$M$3:$M$12,$N$3:$N$12,"Not Found")</f>
        <v>Pen</v>
      </c>
      <c r="I35" s="6" t="str">
        <f>_xlfn.IFS(G35&gt;15000,"Premium",G35&gt;8000,"Standard",G35&gt;5000,"Normal",TRUE,"Basic")</f>
        <v>Basic</v>
      </c>
      <c r="J35" s="7"/>
      <c r="K35" s="5">
        <f>IF(J35="",G35,G35*(1-J35))</f>
        <v>2100</v>
      </c>
    </row>
    <row r="36" spans="1:11" x14ac:dyDescent="0.25">
      <c r="A36" s="2">
        <v>34</v>
      </c>
      <c r="B36" s="2" t="s">
        <v>19</v>
      </c>
      <c r="C36" s="3" t="s">
        <v>26</v>
      </c>
      <c r="D36" s="3" t="s">
        <v>20</v>
      </c>
      <c r="E36" s="4">
        <v>150</v>
      </c>
      <c r="F36" s="2">
        <v>10</v>
      </c>
      <c r="G36" s="5">
        <f>E36*F36</f>
        <v>1500</v>
      </c>
      <c r="H36" s="6" t="str">
        <f>_xlfn.XLOOKUP(B36,$M$3:$M$12,$N$3:$N$12,"Not Found")</f>
        <v>Shirt</v>
      </c>
      <c r="I36" s="6" t="str">
        <f>_xlfn.IFS(G36&gt;15000,"Premium",G36&gt;8000,"Standard",G36&gt;5000,"Normal",TRUE,"Basic")</f>
        <v>Basic</v>
      </c>
      <c r="J36" s="7"/>
      <c r="K36" s="5">
        <f>IF(J36="",G36,G36*(1-J36))</f>
        <v>1500</v>
      </c>
    </row>
    <row r="37" spans="1:11" x14ac:dyDescent="0.25">
      <c r="A37" s="2">
        <v>4</v>
      </c>
      <c r="B37" s="2" t="s">
        <v>25</v>
      </c>
      <c r="C37" s="3" t="s">
        <v>26</v>
      </c>
      <c r="D37" s="3" t="s">
        <v>20</v>
      </c>
      <c r="E37" s="4">
        <v>150</v>
      </c>
      <c r="F37" s="2">
        <v>9</v>
      </c>
      <c r="G37" s="5">
        <f>E37*F37</f>
        <v>1350</v>
      </c>
      <c r="H37" s="6" t="str">
        <f>_xlfn.XLOOKUP(B37,$M$3:$M$12,$N$3:$N$12,"Not Found")</f>
        <v>Pants</v>
      </c>
      <c r="I37" s="6" t="str">
        <f>_xlfn.IFS(G37&gt;15000,"Premium",G37&gt;8000,"Standard",G37&gt;5000,"Normal",TRUE,"Basic")</f>
        <v>Basic</v>
      </c>
      <c r="J37" s="7"/>
      <c r="K37" s="5">
        <f>IF(J37="",G37,G37*(1-J37))</f>
        <v>1350</v>
      </c>
    </row>
    <row r="38" spans="1:11" x14ac:dyDescent="0.25">
      <c r="A38" s="2">
        <v>40</v>
      </c>
      <c r="B38" s="2" t="s">
        <v>31</v>
      </c>
      <c r="C38" s="3" t="s">
        <v>40</v>
      </c>
      <c r="D38" s="3" t="s">
        <v>43</v>
      </c>
      <c r="E38" s="4">
        <v>8000</v>
      </c>
      <c r="F38" s="2">
        <v>13</v>
      </c>
      <c r="G38" s="5">
        <f>E38*F38</f>
        <v>104000</v>
      </c>
      <c r="H38" s="6" t="str">
        <f>_xlfn.XLOOKUP(B38,$M$3:$M$12,$N$3:$N$12,"Not Found")</f>
        <v>Notebook</v>
      </c>
      <c r="I38" s="6" t="str">
        <f>_xlfn.IFS(G38&gt;15000,"Premium",G38&gt;8000,"Standard",G38&gt;5000,"Normal",TRUE,"Basic")</f>
        <v>Premium</v>
      </c>
      <c r="J38" s="7"/>
      <c r="K38" s="5">
        <f>IF(J38="",G38,G38*(1-J38))</f>
        <v>104000</v>
      </c>
    </row>
    <row r="39" spans="1:11" x14ac:dyDescent="0.25">
      <c r="A39" s="2">
        <v>47</v>
      </c>
      <c r="B39" s="2" t="s">
        <v>29</v>
      </c>
      <c r="C39" s="3" t="s">
        <v>40</v>
      </c>
      <c r="D39" s="3" t="s">
        <v>43</v>
      </c>
      <c r="E39" s="4">
        <v>8000</v>
      </c>
      <c r="F39" s="2">
        <v>3</v>
      </c>
      <c r="G39" s="5">
        <f>E39*F39</f>
        <v>24000</v>
      </c>
      <c r="H39" s="6" t="str">
        <f>_xlfn.XLOOKUP(B39,$M$3:$M$12,$N$3:$N$12,"Not Found")</f>
        <v>Rice</v>
      </c>
      <c r="I39" s="6" t="str">
        <f>_xlfn.IFS(G39&gt;15000,"Premium",G39&gt;8000,"Standard",G39&gt;5000,"Normal",TRUE,"Basic")</f>
        <v>Premium</v>
      </c>
      <c r="J39" s="7"/>
      <c r="K39" s="5">
        <f>IF(J39="",G39,G39*(1-J39))</f>
        <v>24000</v>
      </c>
    </row>
    <row r="40" spans="1:11" x14ac:dyDescent="0.25">
      <c r="A40" s="2">
        <v>42</v>
      </c>
      <c r="B40" s="2" t="s">
        <v>33</v>
      </c>
      <c r="C40" s="3" t="s">
        <v>40</v>
      </c>
      <c r="D40" s="3" t="s">
        <v>20</v>
      </c>
      <c r="E40" s="4">
        <v>5000</v>
      </c>
      <c r="F40" s="2">
        <v>2</v>
      </c>
      <c r="G40" s="5">
        <f>E40*F40</f>
        <v>10000</v>
      </c>
      <c r="H40" s="6" t="str">
        <f>_xlfn.XLOOKUP(B40,$M$3:$M$12,$N$3:$N$12,"Not Found")</f>
        <v>Oil</v>
      </c>
      <c r="I40" s="6" t="str">
        <f>_xlfn.IFS(G40&gt;15000,"Premium",G40&gt;8000,"Standard",G40&gt;5000,"Normal",TRUE,"Basic")</f>
        <v>Standard</v>
      </c>
      <c r="J40" s="7"/>
      <c r="K40" s="5">
        <f>IF(J40="",G40,G40*(1-J40))</f>
        <v>10000</v>
      </c>
    </row>
    <row r="41" spans="1:11" x14ac:dyDescent="0.25">
      <c r="A41" s="2">
        <v>28</v>
      </c>
      <c r="B41" s="2" t="s">
        <v>31</v>
      </c>
      <c r="C41" s="3" t="s">
        <v>40</v>
      </c>
      <c r="D41" s="3" t="s">
        <v>20</v>
      </c>
      <c r="E41" s="4">
        <v>800</v>
      </c>
      <c r="F41" s="2">
        <v>9</v>
      </c>
      <c r="G41" s="5">
        <f>E41*F41</f>
        <v>7200</v>
      </c>
      <c r="H41" s="6" t="str">
        <f>_xlfn.XLOOKUP(B41,$M$3:$M$12,$N$3:$N$12,"Not Found")</f>
        <v>Notebook</v>
      </c>
      <c r="I41" s="6" t="str">
        <f>_xlfn.IFS(G41&gt;15000,"Premium",G41&gt;8000,"Standard",G41&gt;5000,"Normal",TRUE,"Basic")</f>
        <v>Normal</v>
      </c>
      <c r="J41" s="7"/>
      <c r="K41" s="5">
        <f>IF(J41="",G41,G41*(1-J41))</f>
        <v>7200</v>
      </c>
    </row>
    <row r="42" spans="1:11" x14ac:dyDescent="0.25">
      <c r="A42" s="2">
        <v>10</v>
      </c>
      <c r="B42" s="2" t="s">
        <v>17</v>
      </c>
      <c r="C42" s="3" t="s">
        <v>40</v>
      </c>
      <c r="D42" s="3" t="s">
        <v>20</v>
      </c>
      <c r="E42" s="4">
        <v>200</v>
      </c>
      <c r="F42" s="2">
        <v>15</v>
      </c>
      <c r="G42" s="5">
        <f>E42*F42</f>
        <v>3000</v>
      </c>
      <c r="H42" s="6" t="str">
        <f>_xlfn.XLOOKUP(B42,$M$3:$M$12,$N$3:$N$12,"Not Found")</f>
        <v>Laptop</v>
      </c>
      <c r="I42" s="6" t="str">
        <f>_xlfn.IFS(G42&gt;15000,"Premium",G42&gt;8000,"Standard",G42&gt;5000,"Normal",TRUE,"Basic")</f>
        <v>Basic</v>
      </c>
      <c r="J42" s="7"/>
      <c r="K42" s="5">
        <f>IF(J42="",G42,G42*(1-J42))</f>
        <v>3000</v>
      </c>
    </row>
    <row r="43" spans="1:11" x14ac:dyDescent="0.25">
      <c r="A43" s="2">
        <v>35</v>
      </c>
      <c r="B43" s="2" t="s">
        <v>33</v>
      </c>
      <c r="C43" s="3" t="s">
        <v>40</v>
      </c>
      <c r="D43" s="3" t="s">
        <v>23</v>
      </c>
      <c r="E43" s="4">
        <v>200</v>
      </c>
      <c r="F43" s="2">
        <v>15</v>
      </c>
      <c r="G43" s="5">
        <f>E43*F43</f>
        <v>3000</v>
      </c>
      <c r="H43" s="6" t="str">
        <f>_xlfn.XLOOKUP(B43,$M$3:$M$12,$N$3:$N$12,"Not Found")</f>
        <v>Oil</v>
      </c>
      <c r="I43" s="6" t="str">
        <f>_xlfn.IFS(G43&gt;15000,"Premium",G43&gt;8000,"Standard",G43&gt;5000,"Normal",TRUE,"Basic")</f>
        <v>Basic</v>
      </c>
      <c r="J43" s="7"/>
      <c r="K43" s="5">
        <f>IF(J43="",G43,G43*(1-J43))</f>
        <v>3000</v>
      </c>
    </row>
    <row r="44" spans="1:11" x14ac:dyDescent="0.25">
      <c r="A44" s="2">
        <v>49</v>
      </c>
      <c r="B44" s="2" t="s">
        <v>36</v>
      </c>
      <c r="C44" s="3" t="s">
        <v>40</v>
      </c>
      <c r="D44" s="3" t="s">
        <v>43</v>
      </c>
      <c r="E44" s="4">
        <v>200</v>
      </c>
      <c r="F44" s="2">
        <v>2</v>
      </c>
      <c r="G44" s="5">
        <f>E44*F44</f>
        <v>400</v>
      </c>
      <c r="H44" s="6" t="str">
        <f>_xlfn.XLOOKUP(B44,$M$3:$M$12,$N$3:$N$12,"Not Found")</f>
        <v>Desk</v>
      </c>
      <c r="I44" s="6" t="str">
        <f>_xlfn.IFS(G44&gt;15000,"Premium",G44&gt;8000,"Standard",G44&gt;5000,"Normal",TRUE,"Basic")</f>
        <v>Basic</v>
      </c>
      <c r="J44" s="7"/>
      <c r="K44" s="5">
        <f>IF(J44="",G44,G44*(1-J44))</f>
        <v>400</v>
      </c>
    </row>
    <row r="45" spans="1:11" x14ac:dyDescent="0.25">
      <c r="A45" s="2">
        <v>41</v>
      </c>
      <c r="B45" s="2" t="s">
        <v>25</v>
      </c>
      <c r="C45" s="3" t="s">
        <v>32</v>
      </c>
      <c r="D45" s="3" t="s">
        <v>28</v>
      </c>
      <c r="E45" s="4">
        <v>18000</v>
      </c>
      <c r="F45" s="2">
        <v>11</v>
      </c>
      <c r="G45" s="5">
        <f>E45*F45</f>
        <v>198000</v>
      </c>
      <c r="H45" s="6" t="str">
        <f>_xlfn.XLOOKUP(B45,$M$3:$M$12,$N$3:$N$12,"Not Found")</f>
        <v>Pants</v>
      </c>
      <c r="I45" s="6" t="str">
        <f>_xlfn.IFS(G45&gt;15000,"Premium",G45&gt;8000,"Standard",G45&gt;5000,"Normal",TRUE,"Basic")</f>
        <v>Premium</v>
      </c>
      <c r="J45" s="7"/>
      <c r="K45" s="5">
        <f>IF(J45="",G45,G45*(1-J45))</f>
        <v>198000</v>
      </c>
    </row>
    <row r="46" spans="1:11" x14ac:dyDescent="0.25">
      <c r="A46" s="2">
        <v>46</v>
      </c>
      <c r="B46" s="2" t="s">
        <v>17</v>
      </c>
      <c r="C46" s="3" t="s">
        <v>32</v>
      </c>
      <c r="D46" s="3" t="s">
        <v>23</v>
      </c>
      <c r="E46" s="4">
        <v>8000</v>
      </c>
      <c r="F46" s="2">
        <v>4</v>
      </c>
      <c r="G46" s="5">
        <f>E46*F46</f>
        <v>32000</v>
      </c>
      <c r="H46" s="6" t="str">
        <f>_xlfn.XLOOKUP(B46,$M$3:$M$12,$N$3:$N$12,"Not Found")</f>
        <v>Laptop</v>
      </c>
      <c r="I46" s="6" t="str">
        <f>_xlfn.IFS(G46&gt;15000,"Premium",G46&gt;8000,"Standard",G46&gt;5000,"Normal",TRUE,"Basic")</f>
        <v>Premium</v>
      </c>
      <c r="J46" s="7"/>
      <c r="K46" s="5">
        <f>IF(J46="",G46,G46*(1-J46))</f>
        <v>32000</v>
      </c>
    </row>
    <row r="47" spans="1:11" x14ac:dyDescent="0.25">
      <c r="A47" s="2">
        <v>50</v>
      </c>
      <c r="B47" s="2" t="s">
        <v>22</v>
      </c>
      <c r="C47" s="3" t="s">
        <v>32</v>
      </c>
      <c r="D47" s="3" t="s">
        <v>28</v>
      </c>
      <c r="E47" s="4">
        <v>2500</v>
      </c>
      <c r="F47" s="2">
        <v>8</v>
      </c>
      <c r="G47" s="5">
        <f>E47*F47</f>
        <v>20000</v>
      </c>
      <c r="H47" s="6" t="str">
        <f>_xlfn.XLOOKUP(B47,$M$3:$M$12,$N$3:$N$12,"Not Found")</f>
        <v>Chair</v>
      </c>
      <c r="I47" s="6" t="str">
        <f>_xlfn.IFS(G47&gt;15000,"Premium",G47&gt;8000,"Standard",G47&gt;5000,"Normal",TRUE,"Basic")</f>
        <v>Premium</v>
      </c>
      <c r="J47" s="7"/>
      <c r="K47" s="5">
        <f>IF(J47="",G47,G47*(1-J47))</f>
        <v>20000</v>
      </c>
    </row>
    <row r="48" spans="1:11" x14ac:dyDescent="0.25">
      <c r="A48" s="2">
        <v>9</v>
      </c>
      <c r="B48" s="2" t="s">
        <v>33</v>
      </c>
      <c r="C48" s="3" t="s">
        <v>32</v>
      </c>
      <c r="D48" s="3" t="s">
        <v>20</v>
      </c>
      <c r="E48" s="4">
        <v>800</v>
      </c>
      <c r="F48" s="2">
        <v>13</v>
      </c>
      <c r="G48" s="5">
        <f>E48*F48</f>
        <v>10400</v>
      </c>
      <c r="H48" s="6" t="str">
        <f>_xlfn.XLOOKUP(B48,$M$3:$M$12,$N$3:$N$12,"Not Found")</f>
        <v>Oil</v>
      </c>
      <c r="I48" s="6" t="str">
        <f>_xlfn.IFS(G48&gt;15000,"Premium",G48&gt;8000,"Standard",G48&gt;5000,"Normal",TRUE,"Basic")</f>
        <v>Standard</v>
      </c>
      <c r="J48" s="7"/>
      <c r="K48" s="5">
        <f>IF(J48="",G48,G48*(1-J48))</f>
        <v>10400</v>
      </c>
    </row>
    <row r="49" spans="1:11" x14ac:dyDescent="0.25">
      <c r="A49" s="2">
        <v>12</v>
      </c>
      <c r="B49" s="2" t="s">
        <v>31</v>
      </c>
      <c r="C49" s="3" t="s">
        <v>32</v>
      </c>
      <c r="D49" s="3" t="s">
        <v>20</v>
      </c>
      <c r="E49" s="4">
        <v>500</v>
      </c>
      <c r="F49" s="2">
        <v>12</v>
      </c>
      <c r="G49" s="5">
        <f>E49*F49</f>
        <v>6000</v>
      </c>
      <c r="H49" s="6" t="str">
        <f>_xlfn.XLOOKUP(B49,$M$3:$M$12,$N$3:$N$12,"Not Found")</f>
        <v>Notebook</v>
      </c>
      <c r="I49" s="6" t="str">
        <f>_xlfn.IFS(G49&gt;15000,"Premium",G49&gt;8000,"Standard",G49&gt;5000,"Normal",TRUE,"Basic")</f>
        <v>Normal</v>
      </c>
      <c r="J49" s="7"/>
      <c r="K49" s="5">
        <f>IF(J49="",G49,G49*(1-J49))</f>
        <v>6000</v>
      </c>
    </row>
    <row r="50" spans="1:11" x14ac:dyDescent="0.25">
      <c r="A50" s="2">
        <v>6</v>
      </c>
      <c r="B50" s="2" t="s">
        <v>31</v>
      </c>
      <c r="C50" s="3" t="s">
        <v>32</v>
      </c>
      <c r="D50" s="3" t="s">
        <v>23</v>
      </c>
      <c r="E50" s="4">
        <v>350</v>
      </c>
      <c r="F50" s="2">
        <v>12</v>
      </c>
      <c r="G50" s="5">
        <f>E50*F50</f>
        <v>4200</v>
      </c>
      <c r="H50" s="6" t="str">
        <f>_xlfn.XLOOKUP(B50,$M$3:$M$12,$N$3:$N$12,"Not Found")</f>
        <v>Notebook</v>
      </c>
      <c r="I50" s="6" t="str">
        <f>_xlfn.IFS(G50&gt;15000,"Premium",G50&gt;8000,"Standard",G50&gt;5000,"Normal",TRUE,"Basic")</f>
        <v>Basic</v>
      </c>
      <c r="J50" s="7"/>
      <c r="K50" s="5">
        <f>IF(J50="",G50,G50*(1-J50))</f>
        <v>4200</v>
      </c>
    </row>
    <row r="51" spans="1:11" x14ac:dyDescent="0.25">
      <c r="A51" s="2">
        <v>7</v>
      </c>
      <c r="B51" s="2" t="s">
        <v>22</v>
      </c>
      <c r="C51" s="3" t="s">
        <v>32</v>
      </c>
      <c r="D51" s="3" t="s">
        <v>16</v>
      </c>
      <c r="E51" s="4">
        <v>350</v>
      </c>
      <c r="F51" s="2">
        <v>4</v>
      </c>
      <c r="G51" s="5">
        <f>E51*F51</f>
        <v>1400</v>
      </c>
      <c r="H51" s="6" t="str">
        <f>_xlfn.XLOOKUP(B51,$M$3:$M$12,$N$3:$N$12,"Not Found")</f>
        <v>Chair</v>
      </c>
      <c r="I51" s="6" t="str">
        <f>_xlfn.IFS(G51&gt;15000,"Premium",G51&gt;8000,"Standard",G51&gt;5000,"Normal",TRUE,"Basic")</f>
        <v>Basic</v>
      </c>
      <c r="J51" s="7"/>
      <c r="K51" s="5">
        <f>IF(J51="",G51,G51*(1-J51))</f>
        <v>1400</v>
      </c>
    </row>
    <row r="52" spans="1:11" x14ac:dyDescent="0.25">
      <c r="A52" s="2">
        <v>36</v>
      </c>
      <c r="B52" s="2" t="s">
        <v>33</v>
      </c>
      <c r="C52" s="3" t="s">
        <v>32</v>
      </c>
      <c r="D52" s="3" t="s">
        <v>43</v>
      </c>
      <c r="E52" s="4">
        <v>150</v>
      </c>
      <c r="F52" s="2">
        <v>4</v>
      </c>
      <c r="G52" s="5">
        <f>E52*F52</f>
        <v>600</v>
      </c>
      <c r="H52" s="6" t="str">
        <f>_xlfn.XLOOKUP(B52,$M$3:$M$12,$N$3:$N$12,"Not Found")</f>
        <v>Oil</v>
      </c>
      <c r="I52" s="6" t="str">
        <f>_xlfn.IFS(G52&gt;15000,"Premium",G52&gt;8000,"Standard",G52&gt;5000,"Normal",TRUE,"Basic")</f>
        <v>Basic</v>
      </c>
      <c r="J52" s="7"/>
      <c r="K52" s="5">
        <f>IF(J52="",G52,G52*(1-J52))</f>
        <v>600</v>
      </c>
    </row>
    <row r="53" spans="1:11" x14ac:dyDescent="0.25">
      <c r="C53" s="48" t="s">
        <v>15</v>
      </c>
    </row>
  </sheetData>
  <autoFilter ref="C2:C53" xr:uid="{00000000-0001-0000-0000-000000000000}"/>
  <sortState xmlns:xlrd2="http://schemas.microsoft.com/office/spreadsheetml/2017/richdata2" ref="A2:K52">
    <sortCondition sortBy="cellColor" ref="C2:C52" dxfId="37"/>
    <sortCondition sortBy="cellColor" ref="G2:G52" dxfId="36"/>
  </sortState>
  <mergeCells count="2">
    <mergeCell ref="M14:P14"/>
    <mergeCell ref="A1:K1"/>
  </mergeCells>
  <conditionalFormatting sqref="G1:G1048576">
    <cfRule type="cellIs" dxfId="3" priority="12" operator="lessThan">
      <formula>5000</formula>
    </cfRule>
    <cfRule type="cellIs" dxfId="4" priority="11" operator="greaterThan">
      <formula>10000</formula>
    </cfRule>
    <cfRule type="colorScale" priority="10">
      <colorScale>
        <cfvo type="min"/>
        <cfvo type="percentile" val="50"/>
        <cfvo type="max"/>
        <color rgb="FF5A8AC6"/>
        <color rgb="FFFCFCFF"/>
        <color rgb="FFF8696B"/>
      </colorScale>
    </cfRule>
    <cfRule type="dataBar" priority="5">
      <dataBar>
        <cfvo type="min"/>
        <cfvo type="max"/>
        <color rgb="FFFFB628"/>
      </dataBar>
      <extLst>
        <ext xmlns:x14="http://schemas.microsoft.com/office/spreadsheetml/2009/9/main" uri="{B025F937-C7B1-47D3-B67F-A62EFF666E3E}">
          <x14:id>{D96D4E51-648F-4128-BA0F-6CE8438337CE}</x14:id>
        </ext>
      </extLst>
    </cfRule>
    <cfRule type="colorScale" priority="4">
      <colorScale>
        <cfvo type="min"/>
        <cfvo type="max"/>
        <color rgb="FF63BE7B"/>
        <color rgb="FFFCFCFF"/>
      </colorScale>
    </cfRule>
    <cfRule type="top10" dxfId="5" priority="3" percent="1" rank="10"/>
    <cfRule type="expression" priority="2">
      <formula>$C8</formula>
    </cfRule>
  </conditionalFormatting>
  <conditionalFormatting sqref="D37">
    <cfRule type="top10" dxfId="11" priority="9" percent="1" rank="10"/>
    <cfRule type="top10" dxfId="10" priority="8" rank="10"/>
    <cfRule type="dataBar" priority="6">
      <dataBar>
        <cfvo type="min"/>
        <cfvo type="max"/>
        <color rgb="FFFFB628"/>
      </dataBar>
      <extLst>
        <ext xmlns:x14="http://schemas.microsoft.com/office/spreadsheetml/2009/9/main" uri="{B025F937-C7B1-47D3-B67F-A62EFF666E3E}">
          <x14:id>{1456425C-9782-4DEE-B66E-6242F79C6927}</x14:id>
        </ext>
      </extLst>
    </cfRule>
  </conditionalFormatting>
  <conditionalFormatting sqref="C11">
    <cfRule type="expression" priority="1">
      <formula>$C11</formula>
    </cfRule>
  </conditionalFormatting>
  <dataValidations count="1">
    <dataValidation type="list" allowBlank="1" showInputMessage="1" showErrorMessage="1" sqref="C1:C1048576" xr:uid="{593E5D41-653B-49DB-AF3A-4245D58ABAB8}">
      <formula1>$C$9</formula1>
    </dataValidation>
  </dataValidations>
  <pageMargins left="0.75" right="0.75" top="1" bottom="1" header="0.5" footer="0.5"/>
  <extLst>
    <ext xmlns:x14="http://schemas.microsoft.com/office/spreadsheetml/2009/9/main" uri="{78C0D931-6437-407d-A8EE-F0AAD7539E65}">
      <x14:conditionalFormattings>
        <x14:conditionalFormatting xmlns:xm="http://schemas.microsoft.com/office/excel/2006/main">
          <x14:cfRule type="dataBar" id="{D96D4E51-648F-4128-BA0F-6CE8438337CE}">
            <x14:dataBar minLength="0" maxLength="100" border="1" negativeBarBorderColorSameAsPositive="0">
              <x14:cfvo type="autoMin"/>
              <x14:cfvo type="autoMax"/>
              <x14:borderColor rgb="FFFFB628"/>
              <x14:negativeFillColor rgb="FFFF0000"/>
              <x14:negativeBorderColor rgb="FFFF0000"/>
              <x14:axisColor rgb="FF000000"/>
            </x14:dataBar>
          </x14:cfRule>
          <xm:sqref>G1:G1048576</xm:sqref>
        </x14:conditionalFormatting>
        <x14:conditionalFormatting xmlns:xm="http://schemas.microsoft.com/office/excel/2006/main">
          <x14:cfRule type="dataBar" id="{1456425C-9782-4DEE-B66E-6242F79C6927}">
            <x14:dataBar minLength="0" maxLength="100" border="1" negativeBarBorderColorSameAsPositive="0">
              <x14:cfvo type="autoMin"/>
              <x14:cfvo type="autoMax"/>
              <x14:borderColor rgb="FFFFB628"/>
              <x14:negativeFillColor rgb="FFFF0000"/>
              <x14:negativeBorderColor rgb="FFFF0000"/>
              <x14:axisColor rgb="FF000000"/>
            </x14:dataBar>
          </x14:cfRule>
          <xm:sqref>D37</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8"/>
  <sheetViews>
    <sheetView workbookViewId="0">
      <selection activeCell="C18" sqref="C18"/>
    </sheetView>
  </sheetViews>
  <sheetFormatPr defaultRowHeight="15" x14ac:dyDescent="0.25"/>
  <cols>
    <col min="1" max="1" width="22" customWidth="1"/>
    <col min="2" max="2" width="37.140625" customWidth="1"/>
    <col min="3" max="6" width="14" customWidth="1"/>
    <col min="7" max="7" width="12" customWidth="1"/>
    <col min="8" max="8" width="18" customWidth="1"/>
  </cols>
  <sheetData>
    <row r="1" spans="1:8" ht="27.95" customHeight="1" x14ac:dyDescent="0.25">
      <c r="A1" s="37" t="s">
        <v>50</v>
      </c>
      <c r="B1" s="36"/>
      <c r="C1" s="36"/>
      <c r="D1" s="36"/>
      <c r="E1" s="36"/>
      <c r="F1" s="36"/>
      <c r="G1" s="36"/>
      <c r="H1" s="36"/>
    </row>
    <row r="3" spans="1:8" x14ac:dyDescent="0.25">
      <c r="A3" s="10" t="s">
        <v>51</v>
      </c>
      <c r="B3" s="9">
        <v>100000</v>
      </c>
      <c r="C3" s="39" t="s">
        <v>52</v>
      </c>
      <c r="D3" s="36"/>
      <c r="E3" s="36"/>
      <c r="F3" s="36"/>
      <c r="G3" s="36"/>
      <c r="H3" s="36"/>
    </row>
    <row r="5" spans="1:8" x14ac:dyDescent="0.25">
      <c r="A5" s="1" t="s">
        <v>53</v>
      </c>
      <c r="B5" s="1" t="s">
        <v>54</v>
      </c>
      <c r="C5" s="1" t="s">
        <v>55</v>
      </c>
      <c r="D5" s="1" t="s">
        <v>56</v>
      </c>
      <c r="E5" s="1" t="s">
        <v>57</v>
      </c>
      <c r="F5" s="1" t="s">
        <v>58</v>
      </c>
      <c r="G5" s="1" t="s">
        <v>59</v>
      </c>
      <c r="H5" s="1" t="s">
        <v>60</v>
      </c>
    </row>
    <row r="6" spans="1:8" x14ac:dyDescent="0.25">
      <c r="A6" s="12" t="s">
        <v>61</v>
      </c>
      <c r="B6" s="13">
        <v>6.5000000000000002E-2</v>
      </c>
      <c r="C6" s="9">
        <f>FV($B6/12,12,0,-$B$3)</f>
        <v>106697.1852002543</v>
      </c>
      <c r="D6" s="9">
        <f>FV($B6/12,24,0,-$B$3)</f>
        <v>113842.89329657366</v>
      </c>
      <c r="E6" s="9">
        <f>FV($B6/12,60,0,-$B$3)</f>
        <v>138281.73242062904</v>
      </c>
      <c r="F6" s="49">
        <f>RATE(12,0,-$B$3,C6)*12</f>
        <v>6.5000000000288355E-2</v>
      </c>
      <c r="G6" s="14" t="s">
        <v>62</v>
      </c>
      <c r="H6" s="15" t="s">
        <v>63</v>
      </c>
    </row>
    <row r="7" spans="1:8" x14ac:dyDescent="0.25">
      <c r="A7" s="16" t="s">
        <v>64</v>
      </c>
      <c r="B7" s="17">
        <v>0.08</v>
      </c>
      <c r="C7" s="9">
        <f t="shared" ref="C7:C10" si="0">FV($B7/12,12,0,-$B$3)</f>
        <v>108299.950680751</v>
      </c>
      <c r="D7" s="9">
        <f t="shared" ref="D7:D10" si="1">FV($B7/12,24,0,-$B$3)</f>
        <v>117288.79317453101</v>
      </c>
      <c r="E7" s="9">
        <f t="shared" ref="E7:E10" si="2">FV($B7/12,60,0,-$B$3)</f>
        <v>148984.57083016061</v>
      </c>
      <c r="F7" s="49">
        <f t="shared" ref="F7:F10" si="3">RATE(12,0,-$B$3,C7)*12</f>
        <v>8.0000000000195831E-2</v>
      </c>
      <c r="G7" s="18" t="s">
        <v>65</v>
      </c>
      <c r="H7" s="19" t="s">
        <v>66</v>
      </c>
    </row>
    <row r="8" spans="1:8" x14ac:dyDescent="0.25">
      <c r="A8" s="20" t="s">
        <v>67</v>
      </c>
      <c r="B8" s="21">
        <v>8.5000000000000006E-2</v>
      </c>
      <c r="C8" s="9">
        <f t="shared" si="0"/>
        <v>108839.09058926355</v>
      </c>
      <c r="D8" s="9">
        <f t="shared" si="1"/>
        <v>118459.47640297915</v>
      </c>
      <c r="E8" s="9">
        <f t="shared" si="2"/>
        <v>152730.05978655201</v>
      </c>
      <c r="F8" s="49">
        <f t="shared" si="3"/>
        <v>8.5000000000175158E-2</v>
      </c>
      <c r="G8" s="22" t="s">
        <v>65</v>
      </c>
      <c r="H8" s="23" t="s">
        <v>68</v>
      </c>
    </row>
    <row r="9" spans="1:8" x14ac:dyDescent="0.25">
      <c r="A9" s="16" t="s">
        <v>69</v>
      </c>
      <c r="B9" s="17">
        <v>0.09</v>
      </c>
      <c r="C9" s="9">
        <f t="shared" si="0"/>
        <v>109380.68976709843</v>
      </c>
      <c r="D9" s="9">
        <f t="shared" si="1"/>
        <v>119641.35293926227</v>
      </c>
      <c r="E9" s="9">
        <f t="shared" si="2"/>
        <v>156568.10269415731</v>
      </c>
      <c r="F9" s="49">
        <f t="shared" si="3"/>
        <v>9.0000000000154304E-2</v>
      </c>
      <c r="G9" s="18" t="s">
        <v>70</v>
      </c>
      <c r="H9" s="19" t="s">
        <v>71</v>
      </c>
    </row>
    <row r="10" spans="1:8" x14ac:dyDescent="0.25">
      <c r="A10" s="24" t="s">
        <v>72</v>
      </c>
      <c r="B10" s="25">
        <v>0.1128</v>
      </c>
      <c r="C10" s="9">
        <f t="shared" si="0"/>
        <v>111881.84119551569</v>
      </c>
      <c r="D10" s="9">
        <f t="shared" si="1"/>
        <v>125175.46389298592</v>
      </c>
      <c r="E10" s="9">
        <f t="shared" si="2"/>
        <v>175306.50191034659</v>
      </c>
      <c r="F10" s="49">
        <f t="shared" si="3"/>
        <v>0.11280000000008455</v>
      </c>
      <c r="G10" s="26" t="s">
        <v>73</v>
      </c>
      <c r="H10" s="27" t="s">
        <v>74</v>
      </c>
    </row>
    <row r="13" spans="1:8" x14ac:dyDescent="0.25">
      <c r="A13" s="8" t="s">
        <v>75</v>
      </c>
      <c r="C13" s="28">
        <f>FV(B6/12,12,0,-$B$3)</f>
        <v>106697.1852002543</v>
      </c>
      <c r="D13" s="28">
        <f>FV(B6/12,24,0,-$B$3)</f>
        <v>113842.89329657366</v>
      </c>
      <c r="E13" s="28">
        <f>FV(B6/12,60,0,-$B$3)</f>
        <v>138281.73242062904</v>
      </c>
      <c r="F13" s="28">
        <f>RATE(12,0,-$B$3,C6)*12</f>
        <v>6.5000000000288355E-2</v>
      </c>
    </row>
    <row r="15" spans="1:8" x14ac:dyDescent="0.25">
      <c r="A15" s="32" t="s">
        <v>76</v>
      </c>
      <c r="B15" s="33"/>
      <c r="C15" s="33"/>
      <c r="D15" s="33"/>
      <c r="E15" s="33"/>
      <c r="F15" s="33"/>
      <c r="G15" s="33"/>
      <c r="H15" s="34"/>
    </row>
    <row r="16" spans="1:8" x14ac:dyDescent="0.25">
      <c r="A16" s="38" t="s">
        <v>77</v>
      </c>
      <c r="B16" s="34"/>
      <c r="C16" s="29">
        <f>FV(B10/12,36,0,-B3)</f>
        <v>140048.61372850058</v>
      </c>
    </row>
    <row r="17" spans="1:3" x14ac:dyDescent="0.25">
      <c r="A17" s="38" t="s">
        <v>78</v>
      </c>
      <c r="B17" s="34"/>
      <c r="C17" s="29">
        <f>72/8.5</f>
        <v>8.4705882352941178</v>
      </c>
    </row>
    <row r="18" spans="1:3" x14ac:dyDescent="0.25">
      <c r="A18" s="38" t="s">
        <v>79</v>
      </c>
      <c r="B18" s="34"/>
      <c r="C18" s="29">
        <f>72/8</f>
        <v>9</v>
      </c>
    </row>
  </sheetData>
  <mergeCells count="6">
    <mergeCell ref="A18:B18"/>
    <mergeCell ref="A1:H1"/>
    <mergeCell ref="A16:B16"/>
    <mergeCell ref="A15:H15"/>
    <mergeCell ref="C3:H3"/>
    <mergeCell ref="A17:B17"/>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14"/>
  <sheetViews>
    <sheetView workbookViewId="0">
      <selection activeCell="B3" sqref="B3:K12"/>
    </sheetView>
  </sheetViews>
  <sheetFormatPr defaultRowHeight="15" x14ac:dyDescent="0.25"/>
  <cols>
    <col min="1" max="11" width="7" customWidth="1"/>
  </cols>
  <sheetData>
    <row r="1" spans="1:11" ht="27.95" customHeight="1" x14ac:dyDescent="0.25">
      <c r="A1" s="41" t="s">
        <v>80</v>
      </c>
      <c r="B1" s="36"/>
      <c r="C1" s="36"/>
      <c r="D1" s="36"/>
      <c r="E1" s="36"/>
      <c r="F1" s="36"/>
      <c r="G1" s="36"/>
      <c r="H1" s="36"/>
      <c r="I1" s="36"/>
      <c r="J1" s="36"/>
      <c r="K1" s="36"/>
    </row>
    <row r="2" spans="1:11" x14ac:dyDescent="0.25">
      <c r="A2" s="30" t="s">
        <v>81</v>
      </c>
      <c r="B2" s="1">
        <v>1</v>
      </c>
      <c r="C2" s="1">
        <v>2</v>
      </c>
      <c r="D2" s="1">
        <v>3</v>
      </c>
      <c r="E2" s="1">
        <v>4</v>
      </c>
      <c r="F2" s="1">
        <v>5</v>
      </c>
      <c r="G2" s="1">
        <v>6</v>
      </c>
      <c r="H2" s="1">
        <v>7</v>
      </c>
      <c r="I2" s="1">
        <v>8</v>
      </c>
      <c r="J2" s="1">
        <v>9</v>
      </c>
      <c r="K2" s="1">
        <v>10</v>
      </c>
    </row>
    <row r="3" spans="1:11" x14ac:dyDescent="0.25">
      <c r="A3" s="1">
        <v>1</v>
      </c>
      <c r="B3" s="7">
        <f>$A3*B$2</f>
        <v>1</v>
      </c>
      <c r="C3" s="7">
        <f>$A3*C$2</f>
        <v>2</v>
      </c>
      <c r="D3" s="7">
        <f t="shared" ref="D3:K3" si="0">$A3*D$2</f>
        <v>3</v>
      </c>
      <c r="E3" s="7">
        <f t="shared" si="0"/>
        <v>4</v>
      </c>
      <c r="F3" s="7">
        <f t="shared" si="0"/>
        <v>5</v>
      </c>
      <c r="G3" s="7">
        <f t="shared" si="0"/>
        <v>6</v>
      </c>
      <c r="H3" s="7">
        <f t="shared" si="0"/>
        <v>7</v>
      </c>
      <c r="I3" s="7">
        <f t="shared" si="0"/>
        <v>8</v>
      </c>
      <c r="J3" s="7">
        <f t="shared" si="0"/>
        <v>9</v>
      </c>
      <c r="K3" s="7">
        <f t="shared" si="0"/>
        <v>10</v>
      </c>
    </row>
    <row r="4" spans="1:11" x14ac:dyDescent="0.25">
      <c r="A4" s="1">
        <v>2</v>
      </c>
      <c r="B4" s="7">
        <f t="shared" ref="B4:K12" si="1">$A4*B$2</f>
        <v>2</v>
      </c>
      <c r="C4" s="7">
        <f t="shared" si="1"/>
        <v>4</v>
      </c>
      <c r="D4" s="7">
        <f t="shared" si="1"/>
        <v>6</v>
      </c>
      <c r="E4" s="7">
        <f t="shared" si="1"/>
        <v>8</v>
      </c>
      <c r="F4" s="7">
        <f t="shared" si="1"/>
        <v>10</v>
      </c>
      <c r="G4" s="7">
        <f t="shared" si="1"/>
        <v>12</v>
      </c>
      <c r="H4" s="7">
        <f t="shared" si="1"/>
        <v>14</v>
      </c>
      <c r="I4" s="7">
        <f t="shared" si="1"/>
        <v>16</v>
      </c>
      <c r="J4" s="7">
        <f t="shared" si="1"/>
        <v>18</v>
      </c>
      <c r="K4" s="7">
        <f t="shared" si="1"/>
        <v>20</v>
      </c>
    </row>
    <row r="5" spans="1:11" x14ac:dyDescent="0.25">
      <c r="A5" s="1">
        <v>3</v>
      </c>
      <c r="B5" s="7">
        <f t="shared" si="1"/>
        <v>3</v>
      </c>
      <c r="C5" s="7">
        <f t="shared" si="1"/>
        <v>6</v>
      </c>
      <c r="D5" s="7">
        <f t="shared" si="1"/>
        <v>9</v>
      </c>
      <c r="E5" s="7">
        <f t="shared" si="1"/>
        <v>12</v>
      </c>
      <c r="F5" s="7">
        <f t="shared" si="1"/>
        <v>15</v>
      </c>
      <c r="G5" s="7">
        <f t="shared" si="1"/>
        <v>18</v>
      </c>
      <c r="H5" s="7">
        <f t="shared" si="1"/>
        <v>21</v>
      </c>
      <c r="I5" s="7">
        <f t="shared" si="1"/>
        <v>24</v>
      </c>
      <c r="J5" s="7">
        <f t="shared" si="1"/>
        <v>27</v>
      </c>
      <c r="K5" s="7">
        <f t="shared" si="1"/>
        <v>30</v>
      </c>
    </row>
    <row r="6" spans="1:11" x14ac:dyDescent="0.25">
      <c r="A6" s="1">
        <v>4</v>
      </c>
      <c r="B6" s="7">
        <f t="shared" si="1"/>
        <v>4</v>
      </c>
      <c r="C6" s="7">
        <f t="shared" si="1"/>
        <v>8</v>
      </c>
      <c r="D6" s="7">
        <f t="shared" si="1"/>
        <v>12</v>
      </c>
      <c r="E6" s="7">
        <f t="shared" si="1"/>
        <v>16</v>
      </c>
      <c r="F6" s="7">
        <f t="shared" si="1"/>
        <v>20</v>
      </c>
      <c r="G6" s="7">
        <f t="shared" si="1"/>
        <v>24</v>
      </c>
      <c r="H6" s="7">
        <f t="shared" si="1"/>
        <v>28</v>
      </c>
      <c r="I6" s="7">
        <f t="shared" si="1"/>
        <v>32</v>
      </c>
      <c r="J6" s="7">
        <f t="shared" si="1"/>
        <v>36</v>
      </c>
      <c r="K6" s="7">
        <f t="shared" si="1"/>
        <v>40</v>
      </c>
    </row>
    <row r="7" spans="1:11" x14ac:dyDescent="0.25">
      <c r="A7" s="1">
        <v>5</v>
      </c>
      <c r="B7" s="7">
        <f t="shared" si="1"/>
        <v>5</v>
      </c>
      <c r="C7" s="7">
        <f t="shared" si="1"/>
        <v>10</v>
      </c>
      <c r="D7" s="7">
        <f t="shared" si="1"/>
        <v>15</v>
      </c>
      <c r="E7" s="7">
        <f t="shared" si="1"/>
        <v>20</v>
      </c>
      <c r="F7" s="7">
        <f t="shared" si="1"/>
        <v>25</v>
      </c>
      <c r="G7" s="7">
        <f t="shared" si="1"/>
        <v>30</v>
      </c>
      <c r="H7" s="7">
        <f t="shared" si="1"/>
        <v>35</v>
      </c>
      <c r="I7" s="7">
        <f t="shared" si="1"/>
        <v>40</v>
      </c>
      <c r="J7" s="7">
        <f t="shared" si="1"/>
        <v>45</v>
      </c>
      <c r="K7" s="7">
        <f t="shared" si="1"/>
        <v>50</v>
      </c>
    </row>
    <row r="8" spans="1:11" x14ac:dyDescent="0.25">
      <c r="A8" s="1">
        <v>6</v>
      </c>
      <c r="B8" s="7">
        <f t="shared" si="1"/>
        <v>6</v>
      </c>
      <c r="C8" s="7">
        <f t="shared" si="1"/>
        <v>12</v>
      </c>
      <c r="D8" s="7">
        <f t="shared" si="1"/>
        <v>18</v>
      </c>
      <c r="E8" s="7">
        <f t="shared" si="1"/>
        <v>24</v>
      </c>
      <c r="F8" s="7">
        <f t="shared" si="1"/>
        <v>30</v>
      </c>
      <c r="G8" s="7">
        <f t="shared" si="1"/>
        <v>36</v>
      </c>
      <c r="H8" s="7">
        <f t="shared" si="1"/>
        <v>42</v>
      </c>
      <c r="I8" s="7">
        <f t="shared" si="1"/>
        <v>48</v>
      </c>
      <c r="J8" s="7">
        <f t="shared" si="1"/>
        <v>54</v>
      </c>
      <c r="K8" s="7">
        <f t="shared" si="1"/>
        <v>60</v>
      </c>
    </row>
    <row r="9" spans="1:11" x14ac:dyDescent="0.25">
      <c r="A9" s="1">
        <v>7</v>
      </c>
      <c r="B9" s="7">
        <f t="shared" si="1"/>
        <v>7</v>
      </c>
      <c r="C9" s="7">
        <f t="shared" si="1"/>
        <v>14</v>
      </c>
      <c r="D9" s="7">
        <f t="shared" si="1"/>
        <v>21</v>
      </c>
      <c r="E9" s="7">
        <f t="shared" si="1"/>
        <v>28</v>
      </c>
      <c r="F9" s="7">
        <f t="shared" si="1"/>
        <v>35</v>
      </c>
      <c r="G9" s="7">
        <f t="shared" si="1"/>
        <v>42</v>
      </c>
      <c r="H9" s="7">
        <f t="shared" si="1"/>
        <v>49</v>
      </c>
      <c r="I9" s="7">
        <f t="shared" si="1"/>
        <v>56</v>
      </c>
      <c r="J9" s="7">
        <f t="shared" si="1"/>
        <v>63</v>
      </c>
      <c r="K9" s="7">
        <f t="shared" si="1"/>
        <v>70</v>
      </c>
    </row>
    <row r="10" spans="1:11" x14ac:dyDescent="0.25">
      <c r="A10" s="1">
        <v>8</v>
      </c>
      <c r="B10" s="7">
        <f t="shared" si="1"/>
        <v>8</v>
      </c>
      <c r="C10" s="7">
        <f t="shared" si="1"/>
        <v>16</v>
      </c>
      <c r="D10" s="7">
        <f t="shared" si="1"/>
        <v>24</v>
      </c>
      <c r="E10" s="7">
        <f t="shared" si="1"/>
        <v>32</v>
      </c>
      <c r="F10" s="7">
        <f t="shared" si="1"/>
        <v>40</v>
      </c>
      <c r="G10" s="7">
        <f t="shared" si="1"/>
        <v>48</v>
      </c>
      <c r="H10" s="7">
        <f t="shared" si="1"/>
        <v>56</v>
      </c>
      <c r="I10" s="7">
        <f t="shared" si="1"/>
        <v>64</v>
      </c>
      <c r="J10" s="7">
        <f t="shared" si="1"/>
        <v>72</v>
      </c>
      <c r="K10" s="7">
        <f t="shared" si="1"/>
        <v>80</v>
      </c>
    </row>
    <row r="11" spans="1:11" x14ac:dyDescent="0.25">
      <c r="A11" s="1">
        <v>9</v>
      </c>
      <c r="B11" s="7">
        <f t="shared" si="1"/>
        <v>9</v>
      </c>
      <c r="C11" s="7">
        <f t="shared" si="1"/>
        <v>18</v>
      </c>
      <c r="D11" s="7">
        <f t="shared" si="1"/>
        <v>27</v>
      </c>
      <c r="E11" s="7">
        <f t="shared" si="1"/>
        <v>36</v>
      </c>
      <c r="F11" s="7">
        <f t="shared" si="1"/>
        <v>45</v>
      </c>
      <c r="G11" s="7">
        <f t="shared" si="1"/>
        <v>54</v>
      </c>
      <c r="H11" s="7">
        <f t="shared" si="1"/>
        <v>63</v>
      </c>
      <c r="I11" s="7">
        <f t="shared" si="1"/>
        <v>72</v>
      </c>
      <c r="J11" s="7">
        <f t="shared" si="1"/>
        <v>81</v>
      </c>
      <c r="K11" s="7">
        <f t="shared" si="1"/>
        <v>90</v>
      </c>
    </row>
    <row r="12" spans="1:11" x14ac:dyDescent="0.25">
      <c r="A12" s="1">
        <v>10</v>
      </c>
      <c r="B12" s="7">
        <f t="shared" si="1"/>
        <v>10</v>
      </c>
      <c r="C12" s="7">
        <f t="shared" si="1"/>
        <v>20</v>
      </c>
      <c r="D12" s="7">
        <f t="shared" si="1"/>
        <v>30</v>
      </c>
      <c r="E12" s="7">
        <f t="shared" si="1"/>
        <v>40</v>
      </c>
      <c r="F12" s="7">
        <f t="shared" si="1"/>
        <v>50</v>
      </c>
      <c r="G12" s="7">
        <f t="shared" si="1"/>
        <v>60</v>
      </c>
      <c r="H12" s="7">
        <f t="shared" si="1"/>
        <v>70</v>
      </c>
      <c r="I12" s="7">
        <f t="shared" si="1"/>
        <v>80</v>
      </c>
      <c r="J12" s="7">
        <f t="shared" si="1"/>
        <v>90</v>
      </c>
      <c r="K12" s="7">
        <f t="shared" si="1"/>
        <v>100</v>
      </c>
    </row>
    <row r="14" spans="1:11" x14ac:dyDescent="0.25">
      <c r="A14" s="40" t="s">
        <v>82</v>
      </c>
      <c r="B14" s="36"/>
      <c r="C14" s="36"/>
      <c r="D14" s="36"/>
      <c r="E14" s="36"/>
      <c r="F14" s="36"/>
      <c r="G14" s="36"/>
      <c r="H14" s="36"/>
      <c r="I14" s="36"/>
      <c r="J14" s="36"/>
      <c r="K14" s="36"/>
    </row>
  </sheetData>
  <mergeCells count="2">
    <mergeCell ref="A14:K14"/>
    <mergeCell ref="A1:K1"/>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6"/>
  <sheetViews>
    <sheetView workbookViewId="0">
      <selection activeCell="D4" sqref="D4:D13"/>
    </sheetView>
  </sheetViews>
  <sheetFormatPr defaultRowHeight="15" x14ac:dyDescent="0.25"/>
  <cols>
    <col min="1" max="1" width="5" customWidth="1"/>
    <col min="2" max="2" width="14" customWidth="1"/>
    <col min="3" max="3" width="10" customWidth="1"/>
    <col min="4" max="4" width="15" customWidth="1"/>
    <col min="5" max="5" width="12" customWidth="1"/>
    <col min="6" max="6" width="10" customWidth="1"/>
    <col min="7" max="7" width="30" customWidth="1"/>
  </cols>
  <sheetData>
    <row r="1" spans="1:7" ht="27.95" customHeight="1" x14ac:dyDescent="0.25">
      <c r="A1" s="37" t="s">
        <v>83</v>
      </c>
      <c r="B1" s="36"/>
      <c r="C1" s="36"/>
      <c r="D1" s="36"/>
      <c r="E1" s="36"/>
      <c r="F1" s="36"/>
    </row>
    <row r="2" spans="1:7" x14ac:dyDescent="0.25">
      <c r="E2" s="10" t="s">
        <v>84</v>
      </c>
      <c r="F2" s="31">
        <v>0.15</v>
      </c>
      <c r="G2" s="11" t="s">
        <v>85</v>
      </c>
    </row>
    <row r="3" spans="1:7" x14ac:dyDescent="0.25">
      <c r="A3" s="1" t="s">
        <v>1</v>
      </c>
      <c r="B3" s="1" t="s">
        <v>86</v>
      </c>
      <c r="C3" s="1" t="s">
        <v>87</v>
      </c>
      <c r="D3" s="6" t="e">
        <f>C4*$F$2 ← এই formula দাও, তারপর D4:D13 fill করো</f>
        <v>#NAME?</v>
      </c>
      <c r="E3" s="1" t="s">
        <v>88</v>
      </c>
    </row>
    <row r="4" spans="1:7" x14ac:dyDescent="0.25">
      <c r="A4" s="2">
        <v>1</v>
      </c>
      <c r="B4" s="3" t="s">
        <v>30</v>
      </c>
      <c r="C4" s="4">
        <v>60</v>
      </c>
      <c r="D4" s="9">
        <f>$F$2*C4</f>
        <v>9</v>
      </c>
      <c r="E4" s="5">
        <f t="shared" ref="E4:E13" si="0">C4+D4</f>
        <v>69</v>
      </c>
    </row>
    <row r="5" spans="1:7" x14ac:dyDescent="0.25">
      <c r="A5" s="2">
        <v>2</v>
      </c>
      <c r="B5" s="3" t="s">
        <v>34</v>
      </c>
      <c r="C5" s="4">
        <v>180</v>
      </c>
      <c r="D5" s="9">
        <f t="shared" ref="D5:D13" si="1">$F$2*C5</f>
        <v>27</v>
      </c>
      <c r="E5" s="5">
        <f t="shared" si="0"/>
        <v>207</v>
      </c>
    </row>
    <row r="6" spans="1:7" x14ac:dyDescent="0.25">
      <c r="A6" s="2">
        <v>3</v>
      </c>
      <c r="B6" s="3" t="s">
        <v>89</v>
      </c>
      <c r="C6" s="4">
        <v>75</v>
      </c>
      <c r="D6" s="9">
        <f t="shared" si="1"/>
        <v>11.25</v>
      </c>
      <c r="E6" s="5">
        <f t="shared" si="0"/>
        <v>86.25</v>
      </c>
    </row>
    <row r="7" spans="1:7" x14ac:dyDescent="0.25">
      <c r="A7" s="2">
        <v>4</v>
      </c>
      <c r="B7" s="3" t="s">
        <v>90</v>
      </c>
      <c r="C7" s="4">
        <v>55</v>
      </c>
      <c r="D7" s="9">
        <f t="shared" si="1"/>
        <v>8.25</v>
      </c>
      <c r="E7" s="5">
        <f t="shared" si="0"/>
        <v>63.25</v>
      </c>
    </row>
    <row r="8" spans="1:7" x14ac:dyDescent="0.25">
      <c r="A8" s="2">
        <v>5</v>
      </c>
      <c r="B8" s="3" t="s">
        <v>91</v>
      </c>
      <c r="C8" s="4">
        <v>30</v>
      </c>
      <c r="D8" s="9">
        <f t="shared" si="1"/>
        <v>4.5</v>
      </c>
      <c r="E8" s="5">
        <f t="shared" si="0"/>
        <v>34.5</v>
      </c>
    </row>
    <row r="9" spans="1:7" x14ac:dyDescent="0.25">
      <c r="A9" s="2">
        <v>6</v>
      </c>
      <c r="B9" s="3" t="s">
        <v>92</v>
      </c>
      <c r="C9" s="4">
        <v>120</v>
      </c>
      <c r="D9" s="9">
        <f t="shared" si="1"/>
        <v>18</v>
      </c>
      <c r="E9" s="5">
        <f t="shared" si="0"/>
        <v>138</v>
      </c>
    </row>
    <row r="10" spans="1:7" x14ac:dyDescent="0.25">
      <c r="A10" s="2">
        <v>7</v>
      </c>
      <c r="B10" s="3" t="s">
        <v>93</v>
      </c>
      <c r="C10" s="4">
        <v>250</v>
      </c>
      <c r="D10" s="9">
        <f t="shared" si="1"/>
        <v>37.5</v>
      </c>
      <c r="E10" s="5">
        <f t="shared" si="0"/>
        <v>287.5</v>
      </c>
    </row>
    <row r="11" spans="1:7" x14ac:dyDescent="0.25">
      <c r="A11" s="2">
        <v>8</v>
      </c>
      <c r="B11" s="3" t="s">
        <v>94</v>
      </c>
      <c r="C11" s="4">
        <v>80</v>
      </c>
      <c r="D11" s="9">
        <f t="shared" si="1"/>
        <v>12</v>
      </c>
      <c r="E11" s="5">
        <f t="shared" si="0"/>
        <v>92</v>
      </c>
    </row>
    <row r="12" spans="1:7" x14ac:dyDescent="0.25">
      <c r="A12" s="2">
        <v>9</v>
      </c>
      <c r="B12" s="3" t="s">
        <v>95</v>
      </c>
      <c r="C12" s="4">
        <v>200</v>
      </c>
      <c r="D12" s="9">
        <f t="shared" si="1"/>
        <v>30</v>
      </c>
      <c r="E12" s="5">
        <f t="shared" si="0"/>
        <v>230</v>
      </c>
    </row>
    <row r="13" spans="1:7" x14ac:dyDescent="0.25">
      <c r="A13" s="2">
        <v>10</v>
      </c>
      <c r="B13" s="3" t="s">
        <v>96</v>
      </c>
      <c r="C13" s="4">
        <v>350</v>
      </c>
      <c r="D13" s="9">
        <f t="shared" si="1"/>
        <v>52.5</v>
      </c>
      <c r="E13" s="5">
        <f t="shared" si="0"/>
        <v>402.5</v>
      </c>
    </row>
    <row r="15" spans="1:7" ht="35.1" customHeight="1" x14ac:dyDescent="0.25">
      <c r="A15" s="42" t="s">
        <v>97</v>
      </c>
      <c r="B15" s="36"/>
      <c r="C15" s="36"/>
      <c r="D15" s="36"/>
      <c r="E15" s="36"/>
    </row>
    <row r="16" spans="1:7" x14ac:dyDescent="0.25">
      <c r="A16" s="36"/>
      <c r="B16" s="36"/>
      <c r="C16" s="36"/>
      <c r="D16" s="36"/>
      <c r="E16" s="36"/>
    </row>
  </sheetData>
  <mergeCells count="2">
    <mergeCell ref="A1:F1"/>
    <mergeCell ref="A15:E16"/>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Sheet1</vt:lpstr>
      <vt:lpstr>Sales Data</vt:lpstr>
      <vt:lpstr>FDR Comparison</vt:lpstr>
      <vt:lpstr>Mixed Ref - Multiply</vt:lpstr>
      <vt:lpstr>VAT - Absolute Ref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Munjurul Alam Piash</cp:lastModifiedBy>
  <dcterms:created xsi:type="dcterms:W3CDTF">2026-05-23T08:12:00Z</dcterms:created>
  <dcterms:modified xsi:type="dcterms:W3CDTF">2026-05-26T06:55:32Z</dcterms:modified>
</cp:coreProperties>
</file>