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 analytics\Week 1\Day 3\"/>
    </mc:Choice>
  </mc:AlternateContent>
  <xr:revisionPtr revIDLastSave="0" documentId="8_{BE47C60E-1411-47A7-B31B-48011D943BD7}" xr6:coauthVersionLast="47" xr6:coauthVersionMax="47" xr10:uidLastSave="{00000000-0000-0000-0000-000000000000}"/>
  <bookViews>
    <workbookView xWindow="14295" yWindow="0" windowWidth="14610" windowHeight="16305" firstSheet="3" activeTab="3" xr2:uid="{00000000-000D-0000-FFFF-FFFF00000000}"/>
  </bookViews>
  <sheets>
    <sheet name="NPV &amp; IRR" sheetId="1" r:id="rId1"/>
    <sheet name="Break-even" sheetId="2" r:id="rId2"/>
    <sheet name="CVP Analysis" sheetId="3" r:id="rId3"/>
    <sheet name="Sensitivity Analysi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A13" i="4" s="1"/>
  <c r="D10" i="3"/>
  <c r="G16" i="3"/>
  <c r="G17" i="3"/>
  <c r="G18" i="3"/>
  <c r="G19" i="3"/>
  <c r="G20" i="3"/>
  <c r="G21" i="3"/>
  <c r="G15" i="3"/>
  <c r="F16" i="3"/>
  <c r="F17" i="3"/>
  <c r="F18" i="3"/>
  <c r="F19" i="3"/>
  <c r="F20" i="3"/>
  <c r="F21" i="3"/>
  <c r="E16" i="3"/>
  <c r="E17" i="3"/>
  <c r="E18" i="3"/>
  <c r="E19" i="3"/>
  <c r="E20" i="3"/>
  <c r="E21" i="3"/>
  <c r="D16" i="3"/>
  <c r="D17" i="3"/>
  <c r="D18" i="3"/>
  <c r="D19" i="3"/>
  <c r="D20" i="3"/>
  <c r="D21" i="3"/>
  <c r="C16" i="3"/>
  <c r="C17" i="3"/>
  <c r="C18" i="3"/>
  <c r="C19" i="3"/>
  <c r="C20" i="3"/>
  <c r="C21" i="3"/>
  <c r="B16" i="3"/>
  <c r="B17" i="3"/>
  <c r="B18" i="3"/>
  <c r="B19" i="3"/>
  <c r="B20" i="3"/>
  <c r="B21" i="3"/>
  <c r="B10" i="3"/>
  <c r="B11" i="3" s="1"/>
  <c r="B16" i="2"/>
  <c r="B15" i="2"/>
  <c r="B12" i="2"/>
  <c r="B13" i="2" s="1"/>
  <c r="B11" i="2"/>
  <c r="B10" i="2"/>
  <c r="B19" i="1"/>
  <c r="B18" i="1"/>
  <c r="B17" i="1"/>
  <c r="B16" i="1"/>
  <c r="B15" i="1"/>
  <c r="B14" i="1"/>
  <c r="E15" i="3"/>
  <c r="C15" i="3"/>
  <c r="B15" i="3"/>
  <c r="D15" i="3" s="1"/>
  <c r="F15" i="3" s="1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B14" i="2" l="1"/>
</calcChain>
</file>

<file path=xl/sharedStrings.xml><?xml version="1.0" encoding="utf-8"?>
<sst xmlns="http://schemas.openxmlformats.org/spreadsheetml/2006/main" count="64" uniqueCount="56">
  <si>
    <t>Discount Rate:</t>
  </si>
  <si>
    <t>Year</t>
  </si>
  <si>
    <t>Machine A (৳)</t>
  </si>
  <si>
    <t>Machine B (৳)</t>
  </si>
  <si>
    <t>Machine C (৳)</t>
  </si>
  <si>
    <t>Year 0 (Investment)</t>
  </si>
  <si>
    <t>Year 1</t>
  </si>
  <si>
    <t>Year 2</t>
  </si>
  <si>
    <t>Year 3</t>
  </si>
  <si>
    <t>Year 4</t>
  </si>
  <si>
    <t>Year 5</t>
  </si>
  <si>
    <t>--- RESULTS: formula দাও ---</t>
  </si>
  <si>
    <t>NPV — Machine A</t>
  </si>
  <si>
    <t>NPV — Machine B</t>
  </si>
  <si>
    <t>NPV — Machine C</t>
  </si>
  <si>
    <t>IRR — Machine A</t>
  </si>
  <si>
    <t>IRR — Machine B</t>
  </si>
  <si>
    <t>IRR — Machine C</t>
  </si>
  <si>
    <t>⚖️ Break-even Analysis | RMG Shirt Factory | 🟡Yellow=formula দাও</t>
  </si>
  <si>
    <t>--- INPUTS ---</t>
  </si>
  <si>
    <t>Fixed Cost (৳)</t>
  </si>
  <si>
    <t>Selling Price/unit</t>
  </si>
  <si>
    <t>Variable Cost/unit</t>
  </si>
  <si>
    <t>Current Units Sold</t>
  </si>
  <si>
    <t>Contribution Margin/unit</t>
  </si>
  <si>
    <t>Contribution Ratio</t>
  </si>
  <si>
    <t>Break-even Units</t>
  </si>
  <si>
    <t>Break-even Sales (৳)</t>
  </si>
  <si>
    <t>Margin of Safety (units)</t>
  </si>
  <si>
    <t>Margin of Safety (%)</t>
  </si>
  <si>
    <t>Profit at current sales</t>
  </si>
  <si>
    <t>--- CHART DATA (Break-even Chart) ---</t>
  </si>
  <si>
    <t>Units</t>
  </si>
  <si>
    <t>Fixed Cost</t>
  </si>
  <si>
    <t>Total Cost</t>
  </si>
  <si>
    <t>Total Revenue</t>
  </si>
  <si>
    <t>💡 Chart: A19:A28 + C19:D28 select → Insert → Line Chart। দুটো line যেখানে cross করে = Break-even!</t>
  </si>
  <si>
    <t>📐 CVP Analysis | 🟡Yellow=formula দাও</t>
  </si>
  <si>
    <t>Price/unit</t>
  </si>
  <si>
    <t>Target Profit</t>
  </si>
  <si>
    <t>--- TARGET CALCULATIONS ---</t>
  </si>
  <si>
    <t>Units for Target Profit:</t>
  </si>
  <si>
    <t>Revenue at Target:</t>
  </si>
  <si>
    <t>--- SCENARIO TABLE ---</t>
  </si>
  <si>
    <t>Revenue</t>
  </si>
  <si>
    <t>Var Cost</t>
  </si>
  <si>
    <t>Contribution</t>
  </si>
  <si>
    <t>Profit/Loss</t>
  </si>
  <si>
    <t>Status</t>
  </si>
  <si>
    <t>💡 Bar Chart: Units vs Profit/Loss → Negative bars = loss, Positive = profit</t>
  </si>
  <si>
    <t>📊 Sensitivity: Price vs Variable Cost | Data Table দিয়ে 5×5 grid বানাও</t>
  </si>
  <si>
    <t>--- BASE CASE INPUTS ---</t>
  </si>
  <si>
    <t>Selling Price</t>
  </si>
  <si>
    <t>Variable Cost</t>
  </si>
  <si>
    <t>Base Profit:</t>
  </si>
  <si>
    <t>--- SENSITIVITY TABLE: Price (rows) vs Variable Cost (columns)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</si>
</sst>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rgb="FF1E3A8A"/>
      <name val="Arial"/>
    </font>
    <font>
      <b/>
      <sz val="11"/>
      <color rgb="FF111827"/>
      <name val="Arial"/>
    </font>
    <font>
      <sz val="11"/>
      <color rgb="FF111827"/>
      <name val="Arial"/>
    </font>
    <font>
      <b/>
      <sz val="11"/>
      <color rgb="FFFFFFFF"/>
      <name val="Arial"/>
    </font>
    <font>
      <i/>
      <sz val="10"/>
      <color rgb="FF7C3AED"/>
      <name val="Arial"/>
    </font>
    <font>
      <b/>
      <sz val="11"/>
      <color rgb="FF065F46"/>
      <name val="Arial"/>
    </font>
    <font>
      <i/>
      <sz val="10"/>
      <color rgb="FF4C1D95"/>
      <name val="Arial"/>
    </font>
    <font>
      <b/>
      <sz val="11"/>
      <color rgb="FF92400E"/>
      <name val="Arial"/>
    </font>
    <font>
      <b/>
      <sz val="11"/>
      <color rgb="FF4C1D95"/>
      <name val="Arial"/>
    </font>
    <font>
      <i/>
      <sz val="10"/>
      <color rgb="FF065F46"/>
      <name val="Arial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EF9C3"/>
      </patternFill>
    </fill>
    <fill>
      <patternFill patternType="solid">
        <fgColor rgb="FF1E3A8A"/>
      </patternFill>
    </fill>
    <fill>
      <patternFill patternType="solid">
        <fgColor rgb="FFFAEEDA"/>
      </patternFill>
    </fill>
    <fill>
      <patternFill patternType="solid">
        <fgColor rgb="FFFFFFFF"/>
      </patternFill>
    </fill>
    <fill>
      <patternFill patternType="solid">
        <fgColor rgb="FF92400E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FFFBEB"/>
      </patternFill>
    </fill>
    <fill>
      <patternFill patternType="solid">
        <fgColor rgb="FFFCEBEB"/>
      </patternFill>
    </fill>
    <fill>
      <patternFill patternType="solid">
        <fgColor rgb="FF7C3AED"/>
      </patternFill>
    </fill>
    <fill>
      <patternFill patternType="solid">
        <fgColor rgb="FF374151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left" vertical="center"/>
    </xf>
    <xf numFmtId="9" fontId="3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6" fillId="9" borderId="0" xfId="0" applyFont="1" applyFill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3" fontId="3" fillId="13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8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4" fillId="1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'Break-even'!$A$20:$A$28</c:f>
              <c:numCache>
                <c:formatCode>#,##0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5-47A7-B000-34705247E87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'Break-even'!$C$19:$C$28</c:f>
              <c:numCache>
                <c:formatCode>#,##0</c:formatCode>
                <c:ptCount val="10"/>
                <c:pt idx="0" formatCode="General">
                  <c:v>0</c:v>
                </c:pt>
                <c:pt idx="1">
                  <c:v>2000000</c:v>
                </c:pt>
                <c:pt idx="2">
                  <c:v>2600000</c:v>
                </c:pt>
                <c:pt idx="3">
                  <c:v>3200000</c:v>
                </c:pt>
                <c:pt idx="4">
                  <c:v>3800000</c:v>
                </c:pt>
                <c:pt idx="5">
                  <c:v>4400000</c:v>
                </c:pt>
                <c:pt idx="6">
                  <c:v>5000000</c:v>
                </c:pt>
                <c:pt idx="7">
                  <c:v>5600000</c:v>
                </c:pt>
                <c:pt idx="8">
                  <c:v>6200000</c:v>
                </c:pt>
                <c:pt idx="9">
                  <c:v>6800000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5-47A7-B000-34705247E87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'Break-even'!$D$19:$D$28</c:f>
              <c:numCache>
                <c:formatCode>#,##0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1000000</c:v>
                </c:pt>
                <c:pt idx="3">
                  <c:v>2000000</c:v>
                </c:pt>
                <c:pt idx="4">
                  <c:v>3000000</c:v>
                </c:pt>
                <c:pt idx="5">
                  <c:v>4000000</c:v>
                </c:pt>
                <c:pt idx="6">
                  <c:v>5000000</c:v>
                </c:pt>
                <c:pt idx="7">
                  <c:v>6000000</c:v>
                </c:pt>
                <c:pt idx="8">
                  <c:v>7000000</c:v>
                </c:pt>
                <c:pt idx="9">
                  <c:v>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45-47A7-B000-34705247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467135"/>
        <c:axId val="1933450815"/>
      </c:lineChart>
      <c:catAx>
        <c:axId val="1933467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50815"/>
        <c:crosses val="autoZero"/>
        <c:auto val="1"/>
        <c:lblAlgn val="ctr"/>
        <c:lblOffset val="100"/>
        <c:noMultiLvlLbl val="0"/>
      </c:catAx>
      <c:valAx>
        <c:axId val="193345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615966754155732"/>
          <c:y val="0.61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'CVP Analysis'!$A$14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'CVP Analysis'!$A$15:$A$21</c:f>
              <c:numCache>
                <c:formatCode>#,##0</c:formatCode>
                <c:ptCount val="7"/>
                <c:pt idx="0">
                  <c:v>5000</c:v>
                </c:pt>
                <c:pt idx="1">
                  <c:v>7000</c:v>
                </c:pt>
                <c:pt idx="2">
                  <c:v>10000</c:v>
                </c:pt>
                <c:pt idx="3">
                  <c:v>12500</c:v>
                </c:pt>
                <c:pt idx="4">
                  <c:v>15000</c:v>
                </c:pt>
                <c:pt idx="5">
                  <c:v>18000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1-407D-BD47-A790A5C0024D}"/>
            </c:ext>
          </c:extLst>
        </c:ser>
        <c:ser>
          <c:idx val="1"/>
          <c:order val="1"/>
          <c:tx>
            <c:strRef>
              <c:f>'CVP Analysis'!$F$14</c:f>
              <c:strCache>
                <c:ptCount val="1"/>
                <c:pt idx="0">
                  <c:v>Profit/Loss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'CVP Analysis'!$F$15:$F$21</c:f>
              <c:numCache>
                <c:formatCode>#,##0</c:formatCode>
                <c:ptCount val="7"/>
                <c:pt idx="0">
                  <c:v>-1000000</c:v>
                </c:pt>
                <c:pt idx="1">
                  <c:v>-600000</c:v>
                </c:pt>
                <c:pt idx="2">
                  <c:v>0</c:v>
                </c:pt>
                <c:pt idx="3">
                  <c:v>500000</c:v>
                </c:pt>
                <c:pt idx="4">
                  <c:v>1000000</c:v>
                </c:pt>
                <c:pt idx="5">
                  <c:v>1600000</c:v>
                </c:pt>
                <c:pt idx="6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41-407D-BD47-A790A5C00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3482495"/>
        <c:axId val="1933499295"/>
      </c:barChart>
      <c:catAx>
        <c:axId val="1933482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99295"/>
        <c:crosses val="autoZero"/>
        <c:auto val="1"/>
        <c:lblAlgn val="ctr"/>
        <c:lblOffset val="100"/>
        <c:noMultiLvlLbl val="0"/>
      </c:catAx>
      <c:valAx>
        <c:axId val="193349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8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8</xdr:row>
      <xdr:rowOff>138112</xdr:rowOff>
    </xdr:from>
    <xdr:to>
      <xdr:col>7</xdr:col>
      <xdr:colOff>333375</xdr:colOff>
      <xdr:row>23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DA58D-77E2-1938-15DA-923880021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21</xdr:row>
      <xdr:rowOff>80962</xdr:rowOff>
    </xdr:from>
    <xdr:to>
      <xdr:col>5</xdr:col>
      <xdr:colOff>28575</xdr:colOff>
      <xdr:row>35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BF55C-CD35-BD32-D0CA-33532EC12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B28" sqref="B28"/>
    </sheetView>
  </sheetViews>
  <sheetFormatPr defaultRowHeight="15" x14ac:dyDescent="0.25"/>
  <cols>
    <col min="1" max="1" width="26" customWidth="1"/>
    <col min="2" max="2" width="15.28515625" bestFit="1" customWidth="1"/>
    <col min="3" max="3" width="15.5703125" bestFit="1" customWidth="1"/>
    <col min="4" max="4" width="30" customWidth="1"/>
    <col min="5" max="5" width="20" customWidth="1"/>
  </cols>
  <sheetData>
    <row r="1" spans="1:4" ht="27.95" customHeight="1" x14ac:dyDescent="0.25"/>
    <row r="3" spans="1:4" x14ac:dyDescent="0.25">
      <c r="A3" s="1" t="s">
        <v>0</v>
      </c>
      <c r="B3" s="2">
        <v>0.12</v>
      </c>
    </row>
    <row r="5" spans="1:4" x14ac:dyDescent="0.25">
      <c r="A5" s="3" t="s">
        <v>1</v>
      </c>
      <c r="B5" s="3" t="s">
        <v>2</v>
      </c>
      <c r="C5" s="3" t="s">
        <v>3</v>
      </c>
      <c r="D5" s="3" t="s">
        <v>4</v>
      </c>
    </row>
    <row r="6" spans="1:4" x14ac:dyDescent="0.25">
      <c r="A6" s="4" t="s">
        <v>5</v>
      </c>
      <c r="B6" s="5">
        <v>-5000000</v>
      </c>
      <c r="C6" s="5">
        <v>-7000000</v>
      </c>
      <c r="D6" s="5">
        <v>-3000000</v>
      </c>
    </row>
    <row r="7" spans="1:4" x14ac:dyDescent="0.25">
      <c r="A7" s="6" t="s">
        <v>6</v>
      </c>
      <c r="B7" s="7">
        <v>1200000</v>
      </c>
      <c r="C7" s="7">
        <v>1500000</v>
      </c>
      <c r="D7" s="7">
        <v>500000</v>
      </c>
    </row>
    <row r="8" spans="1:4" x14ac:dyDescent="0.25">
      <c r="A8" s="6" t="s">
        <v>7</v>
      </c>
      <c r="B8" s="7">
        <v>1400000</v>
      </c>
      <c r="C8" s="7">
        <v>1800000</v>
      </c>
      <c r="D8" s="7">
        <v>600000</v>
      </c>
    </row>
    <row r="9" spans="1:4" x14ac:dyDescent="0.25">
      <c r="A9" s="6" t="s">
        <v>8</v>
      </c>
      <c r="B9" s="7">
        <v>1600000</v>
      </c>
      <c r="C9" s="7">
        <v>2000000</v>
      </c>
      <c r="D9" s="7">
        <v>700000</v>
      </c>
    </row>
    <row r="10" spans="1:4" x14ac:dyDescent="0.25">
      <c r="A10" s="6" t="s">
        <v>9</v>
      </c>
      <c r="B10" s="7">
        <v>1800000</v>
      </c>
      <c r="C10" s="7">
        <v>2200000</v>
      </c>
      <c r="D10" s="7">
        <v>800000</v>
      </c>
    </row>
    <row r="11" spans="1:4" x14ac:dyDescent="0.25">
      <c r="A11" s="6" t="s">
        <v>10</v>
      </c>
      <c r="B11" s="7">
        <v>2000000</v>
      </c>
      <c r="C11" s="7">
        <v>2500000</v>
      </c>
      <c r="D11" s="7">
        <v>900000</v>
      </c>
    </row>
    <row r="13" spans="1:4" x14ac:dyDescent="0.25">
      <c r="A13" s="8" t="s">
        <v>11</v>
      </c>
    </row>
    <row r="14" spans="1:4" x14ac:dyDescent="0.25">
      <c r="A14" s="1" t="s">
        <v>12</v>
      </c>
      <c r="B14" s="9">
        <f>NPV($B$3,B7:B11)+B6</f>
        <v>605134.64906735159</v>
      </c>
    </row>
    <row r="15" spans="1:4" x14ac:dyDescent="0.25">
      <c r="A15" s="1" t="s">
        <v>13</v>
      </c>
      <c r="B15" s="9">
        <f>NPV($B$3,C7:C11)+C6</f>
        <v>14502.101291498169</v>
      </c>
    </row>
    <row r="16" spans="1:4" x14ac:dyDescent="0.25">
      <c r="A16" s="1" t="s">
        <v>14</v>
      </c>
      <c r="B16" s="9">
        <f>NPV($B$3,D7:D11)+D6</f>
        <v>-557910.29570082482</v>
      </c>
    </row>
    <row r="17" spans="1:2" x14ac:dyDescent="0.25">
      <c r="A17" s="1" t="s">
        <v>15</v>
      </c>
      <c r="B17" s="10">
        <f>IRR(B6:B11)</f>
        <v>0.1636248308982271</v>
      </c>
    </row>
    <row r="18" spans="1:2" x14ac:dyDescent="0.25">
      <c r="A18" s="1" t="s">
        <v>16</v>
      </c>
      <c r="B18" s="10">
        <f>IRR(C6:C11)</f>
        <v>0.12076863692139761</v>
      </c>
    </row>
    <row r="19" spans="1:2" x14ac:dyDescent="0.25">
      <c r="A19" s="1" t="s">
        <v>17</v>
      </c>
      <c r="B19" s="10">
        <f>IRR(D6:D11)</f>
        <v>4.8729897264393029E-2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C19" activeCellId="1" sqref="A20:A28 C19:D28"/>
    </sheetView>
  </sheetViews>
  <sheetFormatPr defaultRowHeight="15" x14ac:dyDescent="0.25"/>
  <cols>
    <col min="1" max="1" width="26" customWidth="1"/>
    <col min="2" max="3" width="14" customWidth="1"/>
    <col min="4" max="4" width="19.5703125" bestFit="1" customWidth="1"/>
    <col min="5" max="5" width="18" customWidth="1"/>
  </cols>
  <sheetData>
    <row r="1" spans="1:2" ht="27.95" customHeight="1" x14ac:dyDescent="0.25">
      <c r="A1" s="11" t="s">
        <v>18</v>
      </c>
    </row>
    <row r="3" spans="1:2" x14ac:dyDescent="0.25">
      <c r="A3" s="12" t="s">
        <v>19</v>
      </c>
    </row>
    <row r="4" spans="1:2" x14ac:dyDescent="0.25">
      <c r="A4" s="1" t="s">
        <v>20</v>
      </c>
      <c r="B4" s="9">
        <v>2000000</v>
      </c>
    </row>
    <row r="5" spans="1:2" x14ac:dyDescent="0.25">
      <c r="A5" s="1" t="s">
        <v>21</v>
      </c>
      <c r="B5" s="9">
        <v>500</v>
      </c>
    </row>
    <row r="6" spans="1:2" x14ac:dyDescent="0.25">
      <c r="A6" s="1" t="s">
        <v>22</v>
      </c>
      <c r="B6" s="9">
        <v>300</v>
      </c>
    </row>
    <row r="7" spans="1:2" x14ac:dyDescent="0.25">
      <c r="A7" s="1" t="s">
        <v>23</v>
      </c>
      <c r="B7" s="9">
        <v>15000</v>
      </c>
    </row>
    <row r="9" spans="1:2" x14ac:dyDescent="0.25">
      <c r="A9" s="8" t="s">
        <v>11</v>
      </c>
    </row>
    <row r="10" spans="1:2" x14ac:dyDescent="0.25">
      <c r="A10" s="13" t="s">
        <v>24</v>
      </c>
      <c r="B10" s="9">
        <f>B5-B6</f>
        <v>200</v>
      </c>
    </row>
    <row r="11" spans="1:2" x14ac:dyDescent="0.25">
      <c r="A11" s="13" t="s">
        <v>25</v>
      </c>
      <c r="B11" s="10">
        <f>(B5-B6)/B5</f>
        <v>0.4</v>
      </c>
    </row>
    <row r="12" spans="1:2" x14ac:dyDescent="0.25">
      <c r="A12" s="13" t="s">
        <v>26</v>
      </c>
      <c r="B12" s="9">
        <f>B4/(B5-B6)</f>
        <v>10000</v>
      </c>
    </row>
    <row r="13" spans="1:2" x14ac:dyDescent="0.25">
      <c r="A13" s="13" t="s">
        <v>27</v>
      </c>
      <c r="B13" s="9">
        <f>B12*B5</f>
        <v>5000000</v>
      </c>
    </row>
    <row r="14" spans="1:2" x14ac:dyDescent="0.25">
      <c r="A14" s="13" t="s">
        <v>28</v>
      </c>
      <c r="B14" s="9">
        <f>B7-B12</f>
        <v>5000</v>
      </c>
    </row>
    <row r="15" spans="1:2" x14ac:dyDescent="0.25">
      <c r="A15" s="13" t="s">
        <v>29</v>
      </c>
      <c r="B15" s="10">
        <f>(B7-B12)/B7</f>
        <v>0.33333333333333331</v>
      </c>
    </row>
    <row r="16" spans="1:2" x14ac:dyDescent="0.25">
      <c r="A16" s="13" t="s">
        <v>30</v>
      </c>
      <c r="B16" s="9">
        <f>(B5-B6)*B7-B4</f>
        <v>1000000</v>
      </c>
    </row>
    <row r="18" spans="1:4" x14ac:dyDescent="0.25">
      <c r="A18" s="12" t="s">
        <v>31</v>
      </c>
    </row>
    <row r="19" spans="1:4" x14ac:dyDescent="0.25">
      <c r="A19" s="3" t="s">
        <v>32</v>
      </c>
      <c r="B19" s="3" t="s">
        <v>33</v>
      </c>
      <c r="C19" s="3" t="s">
        <v>34</v>
      </c>
      <c r="D19" s="3" t="s">
        <v>35</v>
      </c>
    </row>
    <row r="20" spans="1:4" x14ac:dyDescent="0.25">
      <c r="A20" s="14">
        <v>0</v>
      </c>
      <c r="B20" s="15">
        <f t="shared" ref="B20:B28" si="0">$B$4</f>
        <v>2000000</v>
      </c>
      <c r="C20" s="15">
        <f t="shared" ref="C20:C28" si="1">$B$4+$B$6*A20</f>
        <v>2000000</v>
      </c>
      <c r="D20" s="15">
        <f t="shared" ref="D20:D28" si="2">$B$5*A20</f>
        <v>0</v>
      </c>
    </row>
    <row r="21" spans="1:4" x14ac:dyDescent="0.25">
      <c r="A21" s="14">
        <v>2000</v>
      </c>
      <c r="B21" s="15">
        <f t="shared" si="0"/>
        <v>2000000</v>
      </c>
      <c r="C21" s="15">
        <f t="shared" si="1"/>
        <v>2600000</v>
      </c>
      <c r="D21" s="15">
        <f t="shared" si="2"/>
        <v>1000000</v>
      </c>
    </row>
    <row r="22" spans="1:4" x14ac:dyDescent="0.25">
      <c r="A22" s="14">
        <v>4000</v>
      </c>
      <c r="B22" s="15">
        <f t="shared" si="0"/>
        <v>2000000</v>
      </c>
      <c r="C22" s="15">
        <f t="shared" si="1"/>
        <v>3200000</v>
      </c>
      <c r="D22" s="15">
        <f t="shared" si="2"/>
        <v>2000000</v>
      </c>
    </row>
    <row r="23" spans="1:4" x14ac:dyDescent="0.25">
      <c r="A23" s="14">
        <v>6000</v>
      </c>
      <c r="B23" s="15">
        <f t="shared" si="0"/>
        <v>2000000</v>
      </c>
      <c r="C23" s="15">
        <f t="shared" si="1"/>
        <v>3800000</v>
      </c>
      <c r="D23" s="15">
        <f t="shared" si="2"/>
        <v>3000000</v>
      </c>
    </row>
    <row r="24" spans="1:4" x14ac:dyDescent="0.25">
      <c r="A24" s="14">
        <v>8000</v>
      </c>
      <c r="B24" s="15">
        <f t="shared" si="0"/>
        <v>2000000</v>
      </c>
      <c r="C24" s="15">
        <f t="shared" si="1"/>
        <v>4400000</v>
      </c>
      <c r="D24" s="15">
        <f t="shared" si="2"/>
        <v>4000000</v>
      </c>
    </row>
    <row r="25" spans="1:4" x14ac:dyDescent="0.25">
      <c r="A25" s="14">
        <v>10000</v>
      </c>
      <c r="B25" s="15">
        <f t="shared" si="0"/>
        <v>2000000</v>
      </c>
      <c r="C25" s="15">
        <f t="shared" si="1"/>
        <v>5000000</v>
      </c>
      <c r="D25" s="15">
        <f t="shared" si="2"/>
        <v>5000000</v>
      </c>
    </row>
    <row r="26" spans="1:4" x14ac:dyDescent="0.25">
      <c r="A26" s="14">
        <v>12000</v>
      </c>
      <c r="B26" s="15">
        <f t="shared" si="0"/>
        <v>2000000</v>
      </c>
      <c r="C26" s="15">
        <f t="shared" si="1"/>
        <v>5600000</v>
      </c>
      <c r="D26" s="15">
        <f t="shared" si="2"/>
        <v>6000000</v>
      </c>
    </row>
    <row r="27" spans="1:4" x14ac:dyDescent="0.25">
      <c r="A27" s="14">
        <v>14000</v>
      </c>
      <c r="B27" s="15">
        <f t="shared" si="0"/>
        <v>2000000</v>
      </c>
      <c r="C27" s="15">
        <f t="shared" si="1"/>
        <v>6200000</v>
      </c>
      <c r="D27" s="15">
        <f t="shared" si="2"/>
        <v>7000000</v>
      </c>
    </row>
    <row r="28" spans="1:4" x14ac:dyDescent="0.25">
      <c r="A28" s="14">
        <v>16000</v>
      </c>
      <c r="B28" s="15">
        <f t="shared" si="0"/>
        <v>2000000</v>
      </c>
      <c r="C28" s="15">
        <f t="shared" si="1"/>
        <v>6800000</v>
      </c>
      <c r="D28" s="15">
        <f t="shared" si="2"/>
        <v>8000000</v>
      </c>
    </row>
    <row r="30" spans="1:4" ht="30" customHeight="1" x14ac:dyDescent="0.25">
      <c r="A30" s="16" t="s">
        <v>36</v>
      </c>
    </row>
  </sheetData>
  <phoneticPr fontId="1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D11" sqref="D11"/>
    </sheetView>
  </sheetViews>
  <sheetFormatPr defaultRowHeight="15" x14ac:dyDescent="0.25"/>
  <cols>
    <col min="1" max="1" width="22.7109375" customWidth="1"/>
    <col min="2" max="2" width="14" customWidth="1"/>
    <col min="3" max="3" width="13" customWidth="1"/>
    <col min="4" max="4" width="14" customWidth="1"/>
    <col min="5" max="5" width="12" customWidth="1"/>
    <col min="6" max="6" width="14" customWidth="1"/>
    <col min="7" max="7" width="12" customWidth="1"/>
  </cols>
  <sheetData>
    <row r="1" spans="1:7" ht="27.95" customHeight="1" x14ac:dyDescent="0.25">
      <c r="A1" s="17" t="s">
        <v>37</v>
      </c>
    </row>
    <row r="3" spans="1:7" x14ac:dyDescent="0.25">
      <c r="A3" s="12" t="s">
        <v>19</v>
      </c>
    </row>
    <row r="4" spans="1:7" x14ac:dyDescent="0.25">
      <c r="A4" s="1" t="s">
        <v>33</v>
      </c>
      <c r="B4" s="9">
        <v>2000000</v>
      </c>
    </row>
    <row r="5" spans="1:7" x14ac:dyDescent="0.25">
      <c r="A5" s="1" t="s">
        <v>38</v>
      </c>
      <c r="B5" s="9">
        <v>500</v>
      </c>
    </row>
    <row r="6" spans="1:7" x14ac:dyDescent="0.25">
      <c r="A6" s="1" t="s">
        <v>22</v>
      </c>
      <c r="B6" s="9">
        <v>300</v>
      </c>
    </row>
    <row r="7" spans="1:7" x14ac:dyDescent="0.25">
      <c r="A7" s="1" t="s">
        <v>39</v>
      </c>
      <c r="B7" s="9">
        <v>800000</v>
      </c>
    </row>
    <row r="9" spans="1:7" x14ac:dyDescent="0.25">
      <c r="A9" s="8" t="s">
        <v>40</v>
      </c>
    </row>
    <row r="10" spans="1:7" x14ac:dyDescent="0.25">
      <c r="A10" s="1" t="s">
        <v>41</v>
      </c>
      <c r="B10" s="9">
        <f>(B4+B7)/(B5-B6)</f>
        <v>14000</v>
      </c>
      <c r="D10">
        <f>(5000*150)-1000000</f>
        <v>-250000</v>
      </c>
    </row>
    <row r="11" spans="1:7" x14ac:dyDescent="0.25">
      <c r="A11" s="1" t="s">
        <v>42</v>
      </c>
      <c r="B11" s="9">
        <f>B10*B5</f>
        <v>7000000</v>
      </c>
    </row>
    <row r="13" spans="1:7" x14ac:dyDescent="0.25">
      <c r="A13" s="12" t="s">
        <v>43</v>
      </c>
    </row>
    <row r="14" spans="1:7" x14ac:dyDescent="0.25">
      <c r="A14" s="3" t="s">
        <v>32</v>
      </c>
      <c r="B14" s="3" t="s">
        <v>44</v>
      </c>
      <c r="C14" s="3" t="s">
        <v>45</v>
      </c>
      <c r="D14" s="3" t="s">
        <v>46</v>
      </c>
      <c r="E14" s="3" t="s">
        <v>33</v>
      </c>
      <c r="F14" s="3" t="s">
        <v>47</v>
      </c>
      <c r="G14" s="3" t="s">
        <v>48</v>
      </c>
    </row>
    <row r="15" spans="1:7" x14ac:dyDescent="0.25">
      <c r="A15" s="18">
        <v>5000</v>
      </c>
      <c r="B15" s="19">
        <f>A15*$B$5</f>
        <v>2500000</v>
      </c>
      <c r="C15" s="19">
        <f>A15*$B$6</f>
        <v>1500000</v>
      </c>
      <c r="D15" s="19">
        <f>B15-C15</f>
        <v>1000000</v>
      </c>
      <c r="E15" s="19">
        <f>$B$4</f>
        <v>2000000</v>
      </c>
      <c r="F15" s="19">
        <f>D15-E15</f>
        <v>-1000000</v>
      </c>
      <c r="G15" s="20" t="str">
        <f>IF(F15&gt;40,"✅ Profit","❌ Loss")</f>
        <v>❌ Loss</v>
      </c>
    </row>
    <row r="16" spans="1:7" x14ac:dyDescent="0.25">
      <c r="A16" s="18">
        <v>7000</v>
      </c>
      <c r="B16" s="19">
        <f t="shared" ref="B16:B21" si="0">A16*$B$5</f>
        <v>3500000</v>
      </c>
      <c r="C16" s="19">
        <f t="shared" ref="C16:C21" si="1">A16*$B$6</f>
        <v>2100000</v>
      </c>
      <c r="D16" s="19">
        <f t="shared" ref="D16:D21" si="2">B16-C16</f>
        <v>1400000</v>
      </c>
      <c r="E16" s="19">
        <f t="shared" ref="E16:E21" si="3">$B$4</f>
        <v>2000000</v>
      </c>
      <c r="F16" s="19">
        <f t="shared" ref="F16:F21" si="4">D16-E16</f>
        <v>-600000</v>
      </c>
      <c r="G16" s="20" t="str">
        <f t="shared" ref="G16:G21" si="5">IF(F16&gt;40,"✅ Profit","❌ Loss")</f>
        <v>❌ Loss</v>
      </c>
    </row>
    <row r="17" spans="1:7" x14ac:dyDescent="0.25">
      <c r="A17" s="21">
        <v>10000</v>
      </c>
      <c r="B17" s="19">
        <f t="shared" si="0"/>
        <v>5000000</v>
      </c>
      <c r="C17" s="19">
        <f t="shared" si="1"/>
        <v>3000000</v>
      </c>
      <c r="D17" s="19">
        <f t="shared" si="2"/>
        <v>2000000</v>
      </c>
      <c r="E17" s="19">
        <f t="shared" si="3"/>
        <v>2000000</v>
      </c>
      <c r="F17" s="19">
        <f t="shared" si="4"/>
        <v>0</v>
      </c>
      <c r="G17" s="20" t="str">
        <f t="shared" si="5"/>
        <v>❌ Loss</v>
      </c>
    </row>
    <row r="18" spans="1:7" x14ac:dyDescent="0.25">
      <c r="A18" s="22">
        <v>12500</v>
      </c>
      <c r="B18" s="19">
        <f t="shared" si="0"/>
        <v>6250000</v>
      </c>
      <c r="C18" s="19">
        <f t="shared" si="1"/>
        <v>3750000</v>
      </c>
      <c r="D18" s="19">
        <f t="shared" si="2"/>
        <v>2500000</v>
      </c>
      <c r="E18" s="19">
        <f t="shared" si="3"/>
        <v>2000000</v>
      </c>
      <c r="F18" s="19">
        <f t="shared" si="4"/>
        <v>500000</v>
      </c>
      <c r="G18" s="20" t="str">
        <f t="shared" si="5"/>
        <v>✅ Profit</v>
      </c>
    </row>
    <row r="19" spans="1:7" x14ac:dyDescent="0.25">
      <c r="A19" s="22">
        <v>15000</v>
      </c>
      <c r="B19" s="19">
        <f t="shared" si="0"/>
        <v>7500000</v>
      </c>
      <c r="C19" s="19">
        <f t="shared" si="1"/>
        <v>4500000</v>
      </c>
      <c r="D19" s="19">
        <f t="shared" si="2"/>
        <v>3000000</v>
      </c>
      <c r="E19" s="19">
        <f t="shared" si="3"/>
        <v>2000000</v>
      </c>
      <c r="F19" s="19">
        <f t="shared" si="4"/>
        <v>1000000</v>
      </c>
      <c r="G19" s="20" t="str">
        <f t="shared" si="5"/>
        <v>✅ Profit</v>
      </c>
    </row>
    <row r="20" spans="1:7" x14ac:dyDescent="0.25">
      <c r="A20" s="22">
        <v>18000</v>
      </c>
      <c r="B20" s="19">
        <f t="shared" si="0"/>
        <v>9000000</v>
      </c>
      <c r="C20" s="19">
        <f t="shared" si="1"/>
        <v>5400000</v>
      </c>
      <c r="D20" s="19">
        <f t="shared" si="2"/>
        <v>3600000</v>
      </c>
      <c r="E20" s="19">
        <f t="shared" si="3"/>
        <v>2000000</v>
      </c>
      <c r="F20" s="19">
        <f t="shared" si="4"/>
        <v>1600000</v>
      </c>
      <c r="G20" s="20" t="str">
        <f t="shared" si="5"/>
        <v>✅ Profit</v>
      </c>
    </row>
    <row r="21" spans="1:7" x14ac:dyDescent="0.25">
      <c r="A21" s="22">
        <v>20000</v>
      </c>
      <c r="B21" s="19">
        <f t="shared" si="0"/>
        <v>10000000</v>
      </c>
      <c r="C21" s="19">
        <f t="shared" si="1"/>
        <v>6000000</v>
      </c>
      <c r="D21" s="19">
        <f t="shared" si="2"/>
        <v>4000000</v>
      </c>
      <c r="E21" s="19">
        <f t="shared" si="3"/>
        <v>2000000</v>
      </c>
      <c r="F21" s="19">
        <f t="shared" si="4"/>
        <v>2000000</v>
      </c>
      <c r="G21" s="20" t="str">
        <f t="shared" si="5"/>
        <v>✅ Profit</v>
      </c>
    </row>
    <row r="23" spans="1:7" x14ac:dyDescent="0.25">
      <c r="A23" s="23" t="s">
        <v>49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tabSelected="1" workbookViewId="0">
      <selection activeCell="D10" sqref="D10"/>
    </sheetView>
  </sheetViews>
  <sheetFormatPr defaultRowHeight="15" x14ac:dyDescent="0.25"/>
  <cols>
    <col min="1" max="1" width="40.85546875" customWidth="1"/>
    <col min="2" max="7" width="13" customWidth="1"/>
  </cols>
  <sheetData>
    <row r="1" spans="1:6" ht="27.95" customHeight="1" x14ac:dyDescent="0.25">
      <c r="A1" s="24" t="s">
        <v>50</v>
      </c>
    </row>
    <row r="3" spans="1:6" x14ac:dyDescent="0.25">
      <c r="A3" s="12" t="s">
        <v>51</v>
      </c>
    </row>
    <row r="4" spans="1:6" x14ac:dyDescent="0.25">
      <c r="A4" s="1" t="s">
        <v>33</v>
      </c>
      <c r="B4" s="9">
        <v>2000000</v>
      </c>
    </row>
    <row r="5" spans="1:6" x14ac:dyDescent="0.25">
      <c r="A5" s="1" t="s">
        <v>52</v>
      </c>
      <c r="B5" s="9">
        <v>500</v>
      </c>
    </row>
    <row r="6" spans="1:6" x14ac:dyDescent="0.25">
      <c r="A6" s="1" t="s">
        <v>53</v>
      </c>
      <c r="B6" s="9">
        <v>300</v>
      </c>
    </row>
    <row r="7" spans="1:6" x14ac:dyDescent="0.25">
      <c r="A7" s="1" t="s">
        <v>32</v>
      </c>
      <c r="B7" s="9">
        <v>12000</v>
      </c>
    </row>
    <row r="9" spans="1:6" x14ac:dyDescent="0.25">
      <c r="A9" s="1" t="s">
        <v>54</v>
      </c>
      <c r="B9" s="15">
        <f>(B5-B6)*B7-B4</f>
        <v>400000</v>
      </c>
      <c r="C9" s="25"/>
    </row>
    <row r="11" spans="1:6" x14ac:dyDescent="0.25">
      <c r="A11" s="26" t="s">
        <v>55</v>
      </c>
    </row>
    <row r="13" spans="1:6" x14ac:dyDescent="0.25">
      <c r="A13" s="28">
        <f>B9</f>
        <v>400000</v>
      </c>
      <c r="B13" s="27">
        <v>250</v>
      </c>
      <c r="C13" s="27">
        <v>275</v>
      </c>
      <c r="D13" s="27">
        <v>300</v>
      </c>
      <c r="E13" s="27">
        <v>325</v>
      </c>
      <c r="F13" s="27">
        <v>350</v>
      </c>
    </row>
    <row r="14" spans="1:6" x14ac:dyDescent="0.25">
      <c r="A14" s="27">
        <v>400</v>
      </c>
      <c r="B14" s="9">
        <f t="dataTable" ref="B14:F18" dt2D="1" dtr="1" r1="B6" r2="B5"/>
        <v>-200000</v>
      </c>
      <c r="C14" s="9">
        <v>-500000</v>
      </c>
      <c r="D14" s="9">
        <v>-800000</v>
      </c>
      <c r="E14" s="9">
        <v>-1100000</v>
      </c>
      <c r="F14" s="9">
        <v>-1400000</v>
      </c>
    </row>
    <row r="15" spans="1:6" x14ac:dyDescent="0.25">
      <c r="A15" s="27">
        <v>450</v>
      </c>
      <c r="B15" s="9">
        <v>400000</v>
      </c>
      <c r="C15" s="9">
        <v>100000</v>
      </c>
      <c r="D15" s="9">
        <v>-200000</v>
      </c>
      <c r="E15" s="9">
        <v>-500000</v>
      </c>
      <c r="F15" s="9">
        <v>-800000</v>
      </c>
    </row>
    <row r="16" spans="1:6" x14ac:dyDescent="0.25">
      <c r="A16" s="27">
        <v>500</v>
      </c>
      <c r="B16" s="9">
        <v>1000000</v>
      </c>
      <c r="C16" s="9">
        <v>700000</v>
      </c>
      <c r="D16" s="9">
        <v>400000</v>
      </c>
      <c r="E16" s="9">
        <v>100000</v>
      </c>
      <c r="F16" s="9">
        <v>-200000</v>
      </c>
    </row>
    <row r="17" spans="1:6" x14ac:dyDescent="0.25">
      <c r="A17" s="27">
        <v>550</v>
      </c>
      <c r="B17" s="9">
        <v>1600000</v>
      </c>
      <c r="C17" s="9">
        <v>1300000</v>
      </c>
      <c r="D17" s="9">
        <v>1000000</v>
      </c>
      <c r="E17" s="9">
        <v>700000</v>
      </c>
      <c r="F17" s="9">
        <v>400000</v>
      </c>
    </row>
    <row r="18" spans="1:6" x14ac:dyDescent="0.25">
      <c r="A18" s="27">
        <v>600</v>
      </c>
      <c r="B18" s="9">
        <v>2200000</v>
      </c>
      <c r="C18" s="9">
        <v>1900000</v>
      </c>
      <c r="D18" s="9">
        <v>1600000</v>
      </c>
      <c r="E18" s="9">
        <v>1300000</v>
      </c>
      <c r="F18" s="9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NPV &amp; IRR</vt:lpstr>
      <vt:lpstr>Break-even</vt:lpstr>
      <vt:lpstr>CVP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Munjurul Alam Piash</cp:lastModifiedBy>
  <dcterms:created xsi:type="dcterms:W3CDTF">2026-05-24T15:12:49Z</dcterms:created>
  <dcterms:modified xsi:type="dcterms:W3CDTF">2026-05-30T12:25:03Z</dcterms:modified>
</cp:coreProperties>
</file>