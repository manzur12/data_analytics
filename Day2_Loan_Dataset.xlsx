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 analytics\Week 1\Day 2\"/>
    </mc:Choice>
  </mc:AlternateContent>
  <xr:revisionPtr revIDLastSave="0" documentId="8_{8C23587E-1E35-49E7-93F5-A28DDC68E3B7}" xr6:coauthVersionLast="47" xr6:coauthVersionMax="47" xr10:uidLastSave="{00000000-0000-0000-0000-000000000000}"/>
  <bookViews>
    <workbookView xWindow="14550" yWindow="0" windowWidth="14355" windowHeight="16305" firstSheet="1" activeTab="2" xr2:uid="{00000000-000D-0000-FFFF-FFFF00000000}"/>
  </bookViews>
  <sheets>
    <sheet name="Home Loan" sheetId="1" r:id="rId1"/>
    <sheet name="Amortization Table" sheetId="2" r:id="rId2"/>
    <sheet name="Rate Sensitivity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3" l="1"/>
  <c r="A16" i="3"/>
  <c r="E5" i="3" l="1"/>
  <c r="E6" i="3"/>
  <c r="E7" i="3"/>
  <c r="E8" i="3"/>
  <c r="E4" i="3"/>
  <c r="D5" i="3"/>
  <c r="D6" i="3"/>
  <c r="D7" i="3"/>
  <c r="D8" i="3"/>
  <c r="D4" i="3"/>
  <c r="C5" i="3"/>
  <c r="C6" i="3"/>
  <c r="C7" i="3"/>
  <c r="C8" i="3"/>
  <c r="C4" i="3"/>
  <c r="B5" i="3"/>
  <c r="B6" i="3"/>
  <c r="B7" i="3"/>
  <c r="B8" i="3"/>
  <c r="B4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A81" i="2"/>
  <c r="A82" i="2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A21" i="2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D5" i="2"/>
  <c r="F4" i="2"/>
  <c r="B5" i="2" s="1"/>
  <c r="D4" i="2"/>
  <c r="C4" i="2"/>
  <c r="A5" i="2"/>
  <c r="F26" i="1"/>
  <c r="F27" i="1"/>
  <c r="F28" i="1"/>
  <c r="F25" i="1"/>
  <c r="E26" i="1"/>
  <c r="E27" i="1"/>
  <c r="E28" i="1"/>
  <c r="E25" i="1"/>
  <c r="D26" i="1"/>
  <c r="D27" i="1"/>
  <c r="D28" i="1"/>
  <c r="D25" i="1"/>
  <c r="C26" i="1"/>
  <c r="C27" i="1"/>
  <c r="C28" i="1"/>
  <c r="C25" i="1"/>
  <c r="B21" i="1"/>
  <c r="B20" i="1"/>
  <c r="B19" i="1"/>
  <c r="B18" i="1"/>
  <c r="B17" i="1"/>
  <c r="B16" i="1"/>
  <c r="B15" i="1"/>
  <c r="B14" i="1"/>
  <c r="B13" i="1"/>
  <c r="B10" i="1"/>
  <c r="B9" i="1"/>
  <c r="F5" i="2" l="1"/>
  <c r="B6" i="2" s="1"/>
  <c r="F6" i="2" l="1"/>
  <c r="B7" i="2" s="1"/>
  <c r="F7" i="2" l="1"/>
  <c r="B8" i="2" s="1"/>
  <c r="F8" i="2" l="1"/>
  <c r="B9" i="2" s="1"/>
  <c r="F9" i="2" l="1"/>
  <c r="B10" i="2" s="1"/>
  <c r="F10" i="2" l="1"/>
  <c r="B11" i="2" s="1"/>
  <c r="F11" i="2" l="1"/>
  <c r="B12" i="2" s="1"/>
  <c r="F12" i="2" l="1"/>
  <c r="B13" i="2" s="1"/>
  <c r="F13" i="2" l="1"/>
  <c r="B14" i="2" s="1"/>
  <c r="F14" i="2" l="1"/>
  <c r="B15" i="2" s="1"/>
  <c r="F15" i="2" l="1"/>
  <c r="B16" i="2" s="1"/>
  <c r="F16" i="2" l="1"/>
  <c r="B17" i="2" s="1"/>
  <c r="F17" i="2" l="1"/>
  <c r="B18" i="2" s="1"/>
  <c r="F18" i="2" l="1"/>
  <c r="B19" i="2" s="1"/>
  <c r="F19" i="2" l="1"/>
  <c r="B20" i="2" s="1"/>
  <c r="F20" i="2" l="1"/>
  <c r="B21" i="2" s="1"/>
  <c r="F21" i="2" l="1"/>
  <c r="B22" i="2" s="1"/>
  <c r="F22" i="2" l="1"/>
  <c r="B23" i="2" s="1"/>
  <c r="F23" i="2" l="1"/>
  <c r="B24" i="2" s="1"/>
  <c r="F24" i="2" l="1"/>
  <c r="B25" i="2" s="1"/>
  <c r="F25" i="2" l="1"/>
  <c r="B26" i="2" s="1"/>
  <c r="F26" i="2" l="1"/>
  <c r="B27" i="2" s="1"/>
  <c r="F27" i="2" l="1"/>
  <c r="B28" i="2" s="1"/>
  <c r="F28" i="2" l="1"/>
  <c r="B29" i="2" s="1"/>
  <c r="F29" i="2" l="1"/>
  <c r="B30" i="2" s="1"/>
  <c r="F30" i="2" l="1"/>
  <c r="B31" i="2" s="1"/>
  <c r="F31" i="2" l="1"/>
  <c r="B32" i="2" s="1"/>
  <c r="F32" i="2" l="1"/>
  <c r="B33" i="2" s="1"/>
  <c r="F33" i="2" l="1"/>
  <c r="B34" i="2" s="1"/>
  <c r="F34" i="2" l="1"/>
  <c r="B35" i="2" s="1"/>
  <c r="F35" i="2" l="1"/>
  <c r="B36" i="2" s="1"/>
  <c r="F36" i="2" l="1"/>
  <c r="B37" i="2" s="1"/>
  <c r="F37" i="2" l="1"/>
  <c r="B38" i="2" s="1"/>
  <c r="F38" i="2" l="1"/>
  <c r="B39" i="2" s="1"/>
  <c r="F39" i="2" l="1"/>
  <c r="B40" i="2" s="1"/>
  <c r="F40" i="2" l="1"/>
  <c r="B41" i="2" s="1"/>
  <c r="F41" i="2" l="1"/>
  <c r="B42" i="2" s="1"/>
  <c r="F42" i="2" l="1"/>
  <c r="B43" i="2" s="1"/>
  <c r="F43" i="2" l="1"/>
  <c r="B44" i="2" s="1"/>
  <c r="F44" i="2" l="1"/>
  <c r="B45" i="2" s="1"/>
  <c r="F45" i="2" l="1"/>
  <c r="B46" i="2" s="1"/>
  <c r="F46" i="2" l="1"/>
  <c r="B47" i="2" s="1"/>
  <c r="F47" i="2" l="1"/>
  <c r="B48" i="2" s="1"/>
  <c r="F48" i="2" l="1"/>
  <c r="B49" i="2" s="1"/>
  <c r="F49" i="2" l="1"/>
  <c r="B50" i="2" s="1"/>
  <c r="F50" i="2" l="1"/>
  <c r="B51" i="2" s="1"/>
  <c r="F51" i="2" l="1"/>
  <c r="B52" i="2" s="1"/>
  <c r="F52" i="2" l="1"/>
  <c r="B53" i="2" s="1"/>
  <c r="F53" i="2" l="1"/>
  <c r="B54" i="2" s="1"/>
  <c r="F54" i="2" l="1"/>
  <c r="B55" i="2" s="1"/>
  <c r="F55" i="2" l="1"/>
  <c r="B56" i="2" s="1"/>
  <c r="F56" i="2" l="1"/>
  <c r="B57" i="2" s="1"/>
  <c r="F57" i="2" l="1"/>
  <c r="B58" i="2" s="1"/>
  <c r="F58" i="2" l="1"/>
  <c r="B59" i="2" s="1"/>
  <c r="F59" i="2" l="1"/>
  <c r="B60" i="2" s="1"/>
  <c r="F60" i="2" l="1"/>
  <c r="B61" i="2" s="1"/>
  <c r="F61" i="2" l="1"/>
  <c r="B62" i="2" s="1"/>
  <c r="F62" i="2" l="1"/>
  <c r="B63" i="2" s="1"/>
  <c r="F63" i="2" l="1"/>
  <c r="B64" i="2" s="1"/>
  <c r="F64" i="2" l="1"/>
  <c r="B65" i="2" s="1"/>
  <c r="F65" i="2" l="1"/>
  <c r="B66" i="2" s="1"/>
  <c r="F66" i="2" l="1"/>
  <c r="B67" i="2" s="1"/>
  <c r="F67" i="2" l="1"/>
  <c r="B68" i="2" s="1"/>
  <c r="F68" i="2" l="1"/>
  <c r="B69" i="2" s="1"/>
  <c r="F69" i="2" l="1"/>
  <c r="B70" i="2" s="1"/>
  <c r="F70" i="2" l="1"/>
  <c r="B71" i="2" s="1"/>
  <c r="F71" i="2" l="1"/>
  <c r="B72" i="2" s="1"/>
  <c r="F72" i="2" l="1"/>
  <c r="B73" i="2" s="1"/>
  <c r="F73" i="2" l="1"/>
  <c r="B74" i="2" s="1"/>
  <c r="F74" i="2" l="1"/>
  <c r="B75" i="2" s="1"/>
  <c r="F75" i="2" l="1"/>
  <c r="B76" i="2" s="1"/>
  <c r="F76" i="2" l="1"/>
  <c r="B77" i="2" s="1"/>
  <c r="F77" i="2" l="1"/>
  <c r="B78" i="2" s="1"/>
  <c r="F78" i="2" l="1"/>
  <c r="B79" i="2" s="1"/>
  <c r="F79" i="2" l="1"/>
  <c r="B80" i="2" s="1"/>
  <c r="F80" i="2" l="1"/>
  <c r="B81" i="2" s="1"/>
  <c r="F81" i="2" l="1"/>
  <c r="B82" i="2" s="1"/>
  <c r="F82" i="2" l="1"/>
  <c r="B83" i="2" s="1"/>
  <c r="F83" i="2" l="1"/>
  <c r="B84" i="2" s="1"/>
  <c r="F84" i="2" l="1"/>
  <c r="B85" i="2" s="1"/>
  <c r="F85" i="2" l="1"/>
  <c r="B86" i="2" s="1"/>
  <c r="F86" i="2" l="1"/>
  <c r="B87" i="2" s="1"/>
  <c r="F87" i="2" l="1"/>
  <c r="B88" i="2" s="1"/>
  <c r="F88" i="2" l="1"/>
  <c r="B89" i="2" s="1"/>
  <c r="F89" i="2" l="1"/>
  <c r="B90" i="2" s="1"/>
  <c r="F90" i="2" l="1"/>
  <c r="B91" i="2" s="1"/>
  <c r="F91" i="2" l="1"/>
  <c r="B92" i="2" s="1"/>
  <c r="F92" i="2" l="1"/>
  <c r="B93" i="2" s="1"/>
  <c r="F93" i="2" l="1"/>
  <c r="B94" i="2" s="1"/>
  <c r="F94" i="2" l="1"/>
  <c r="B95" i="2" s="1"/>
  <c r="F95" i="2" l="1"/>
  <c r="B96" i="2" s="1"/>
  <c r="F96" i="2" l="1"/>
  <c r="B97" i="2" s="1"/>
  <c r="F97" i="2" l="1"/>
  <c r="B98" i="2" s="1"/>
  <c r="F98" i="2" l="1"/>
  <c r="B99" i="2" s="1"/>
  <c r="F99" i="2" l="1"/>
  <c r="B100" i="2" s="1"/>
  <c r="F100" i="2" l="1"/>
  <c r="B101" i="2" s="1"/>
  <c r="F101" i="2" l="1"/>
  <c r="B102" i="2" s="1"/>
  <c r="F102" i="2" l="1"/>
  <c r="B103" i="2" s="1"/>
  <c r="F103" i="2" l="1"/>
  <c r="B104" i="2" s="1"/>
  <c r="F104" i="2" l="1"/>
  <c r="B105" i="2" s="1"/>
  <c r="F105" i="2" l="1"/>
  <c r="B106" i="2" s="1"/>
  <c r="F106" i="2" l="1"/>
  <c r="B107" i="2" s="1"/>
  <c r="F107" i="2" l="1"/>
  <c r="B108" i="2" s="1"/>
  <c r="F108" i="2" l="1"/>
  <c r="B109" i="2" s="1"/>
  <c r="F109" i="2" l="1"/>
  <c r="B110" i="2" s="1"/>
  <c r="F110" i="2" l="1"/>
  <c r="B111" i="2" s="1"/>
  <c r="F111" i="2" l="1"/>
  <c r="B112" i="2" s="1"/>
  <c r="F112" i="2" l="1"/>
  <c r="B113" i="2" s="1"/>
  <c r="F113" i="2" l="1"/>
  <c r="B114" i="2" s="1"/>
  <c r="F114" i="2" l="1"/>
  <c r="B115" i="2" s="1"/>
  <c r="F115" i="2" l="1"/>
  <c r="B116" i="2" s="1"/>
  <c r="F116" i="2" l="1"/>
  <c r="B117" i="2" s="1"/>
  <c r="F117" i="2" l="1"/>
  <c r="B118" i="2" s="1"/>
  <c r="F118" i="2" l="1"/>
  <c r="B119" i="2" s="1"/>
  <c r="F119" i="2" l="1"/>
  <c r="B120" i="2" s="1"/>
  <c r="F120" i="2" l="1"/>
  <c r="B121" i="2" s="1"/>
  <c r="F121" i="2" l="1"/>
  <c r="B122" i="2" s="1"/>
  <c r="F122" i="2" l="1"/>
  <c r="B123" i="2" s="1"/>
  <c r="F123" i="2" l="1"/>
  <c r="B124" i="2" s="1"/>
  <c r="F124" i="2" l="1"/>
  <c r="B125" i="2" s="1"/>
  <c r="F125" i="2" l="1"/>
  <c r="B126" i="2" s="1"/>
  <c r="F126" i="2" l="1"/>
  <c r="B127" i="2" s="1"/>
  <c r="F127" i="2" l="1"/>
  <c r="B128" i="2" s="1"/>
  <c r="F128" i="2" l="1"/>
  <c r="B129" i="2" s="1"/>
  <c r="F129" i="2" l="1"/>
  <c r="B130" i="2" s="1"/>
  <c r="F130" i="2" l="1"/>
  <c r="B131" i="2" s="1"/>
  <c r="F131" i="2" l="1"/>
  <c r="B132" i="2" s="1"/>
  <c r="F132" i="2" l="1"/>
  <c r="B133" i="2" s="1"/>
  <c r="F133" i="2" l="1"/>
  <c r="B134" i="2" s="1"/>
  <c r="F134" i="2" l="1"/>
  <c r="B135" i="2" s="1"/>
  <c r="F135" i="2" l="1"/>
  <c r="B136" i="2" s="1"/>
  <c r="F136" i="2" l="1"/>
  <c r="B137" i="2" s="1"/>
  <c r="F137" i="2" l="1"/>
  <c r="B138" i="2" s="1"/>
  <c r="F138" i="2" l="1"/>
  <c r="B139" i="2" s="1"/>
  <c r="F139" i="2" l="1"/>
  <c r="B140" i="2" s="1"/>
  <c r="F140" i="2" l="1"/>
  <c r="B141" i="2" s="1"/>
  <c r="F141" i="2" l="1"/>
  <c r="B142" i="2" s="1"/>
  <c r="F142" i="2" l="1"/>
  <c r="B143" i="2" s="1"/>
  <c r="F143" i="2" l="1"/>
  <c r="B144" i="2" s="1"/>
  <c r="F144" i="2" l="1"/>
  <c r="B145" i="2" s="1"/>
  <c r="F145" i="2" l="1"/>
  <c r="B146" i="2" s="1"/>
  <c r="F146" i="2" l="1"/>
  <c r="B147" i="2" s="1"/>
  <c r="F147" i="2" l="1"/>
  <c r="B148" i="2" s="1"/>
  <c r="F148" i="2" l="1"/>
  <c r="B149" i="2" s="1"/>
  <c r="F149" i="2" l="1"/>
  <c r="B150" i="2" s="1"/>
  <c r="F150" i="2" l="1"/>
  <c r="B151" i="2" s="1"/>
  <c r="F151" i="2" l="1"/>
  <c r="B152" i="2" s="1"/>
  <c r="F152" i="2" l="1"/>
  <c r="B153" i="2" s="1"/>
  <c r="F153" i="2" l="1"/>
  <c r="B154" i="2" s="1"/>
  <c r="F154" i="2" l="1"/>
  <c r="B155" i="2" s="1"/>
  <c r="F155" i="2" l="1"/>
  <c r="B156" i="2" s="1"/>
  <c r="F156" i="2" l="1"/>
  <c r="B157" i="2" s="1"/>
  <c r="F157" i="2" l="1"/>
  <c r="B158" i="2" s="1"/>
  <c r="F158" i="2" l="1"/>
  <c r="B159" i="2" s="1"/>
  <c r="F159" i="2" l="1"/>
  <c r="B160" i="2" s="1"/>
  <c r="F160" i="2" l="1"/>
  <c r="B161" i="2" s="1"/>
  <c r="F161" i="2" l="1"/>
  <c r="B162" i="2" s="1"/>
  <c r="F162" i="2" l="1"/>
  <c r="B163" i="2" s="1"/>
  <c r="F163" i="2" l="1"/>
  <c r="B164" i="2" s="1"/>
  <c r="F164" i="2" l="1"/>
  <c r="B165" i="2" s="1"/>
  <c r="F165" i="2" l="1"/>
  <c r="B166" i="2" s="1"/>
  <c r="F166" i="2" l="1"/>
  <c r="B167" i="2" s="1"/>
  <c r="F167" i="2" l="1"/>
  <c r="B168" i="2" s="1"/>
  <c r="F168" i="2" l="1"/>
  <c r="B169" i="2" s="1"/>
  <c r="F169" i="2" l="1"/>
  <c r="B170" i="2" s="1"/>
  <c r="F170" i="2" l="1"/>
  <c r="B171" i="2" s="1"/>
  <c r="F171" i="2" l="1"/>
  <c r="B172" i="2" s="1"/>
  <c r="F172" i="2" l="1"/>
  <c r="B173" i="2" s="1"/>
  <c r="F173" i="2" l="1"/>
  <c r="B174" i="2" s="1"/>
  <c r="F174" i="2" l="1"/>
  <c r="B175" i="2" s="1"/>
  <c r="F175" i="2" l="1"/>
  <c r="B176" i="2" s="1"/>
  <c r="F176" i="2" l="1"/>
  <c r="B177" i="2" s="1"/>
  <c r="F177" i="2" l="1"/>
  <c r="B178" i="2" s="1"/>
  <c r="F178" i="2" l="1"/>
  <c r="B179" i="2" s="1"/>
  <c r="F179" i="2" l="1"/>
  <c r="B180" i="2" s="1"/>
  <c r="F180" i="2" l="1"/>
  <c r="B181" i="2" s="1"/>
  <c r="F181" i="2" l="1"/>
  <c r="B182" i="2" s="1"/>
  <c r="F182" i="2" l="1"/>
  <c r="B183" i="2" s="1"/>
  <c r="F183" i="2" l="1"/>
</calcChain>
</file>

<file path=xl/sharedStrings.xml><?xml version="1.0" encoding="utf-8"?>
<sst xmlns="http://schemas.openxmlformats.org/spreadsheetml/2006/main" count="96" uniqueCount="85">
  <si>
    <t>🏠 Bangladesh Home Loan | 🟡Yellow=input/formula দাও | 🟢Green=auto-calc</t>
  </si>
  <si>
    <t>📌 INPUTS</t>
  </si>
  <si>
    <t>Loan Amount</t>
  </si>
  <si>
    <t>Annual Rate</t>
  </si>
  <si>
    <t>Tenure (Years)</t>
  </si>
  <si>
    <t>📊 AUTO-CALC</t>
  </si>
  <si>
    <t>Monthly Rate (B5/12)</t>
  </si>
  <si>
    <t>Total Months (B6×12)</t>
  </si>
  <si>
    <t>🎯 RESULTS — Yellow cells-এ formula দাও</t>
  </si>
  <si>
    <t>Monthly EMI (PMT)</t>
  </si>
  <si>
    <t>Hint: =PMT(B9,B10,-B4)</t>
  </si>
  <si>
    <t>Month 1 Interest (IPMT)</t>
  </si>
  <si>
    <t>Hint: =IPMT(B9,1,B10,-B4)</t>
  </si>
  <si>
    <t>Month 1 Principal (PPMT)</t>
  </si>
  <si>
    <t>Hint: =PPMT(B9,1,B10,-B4)</t>
  </si>
  <si>
    <t>Verify: IPMT+PPMT=EMI?</t>
  </si>
  <si>
    <t>Hint: =B14+B15</t>
  </si>
  <si>
    <t>Year 5 Interest (month 60)</t>
  </si>
  <si>
    <t>Hint: =IPMT(B9,60,B10,-B4)</t>
  </si>
  <si>
    <t>Max loan (৳৩০,০০০ EMI)</t>
  </si>
  <si>
    <t>Hint: =PV(B9,B10,-30000)</t>
  </si>
  <si>
    <t>Months if ৳৩৫,০০০ EMI</t>
  </si>
  <si>
    <t>Hint: =NPER(B9,-35000,B4)</t>
  </si>
  <si>
    <t>Total Payment</t>
  </si>
  <si>
    <t>Hint: =B13*B10</t>
  </si>
  <si>
    <t>Total Interest</t>
  </si>
  <si>
    <t>Hint: =B20-B4</t>
  </si>
  <si>
    <t>🏦 Bank Comparison (৳৩০ লাখ, ১৫ বছর)</t>
  </si>
  <si>
    <t>Bank</t>
  </si>
  <si>
    <t>Rate</t>
  </si>
  <si>
    <t>EMI</t>
  </si>
  <si>
    <t>vs 9% Base</t>
  </si>
  <si>
    <t>Note</t>
  </si>
  <si>
    <t>DBBL</t>
  </si>
  <si>
    <t>Base</t>
  </si>
  <si>
    <t>BRAC Bank</t>
  </si>
  <si>
    <t>Popular</t>
  </si>
  <si>
    <t>Islami Bank</t>
  </si>
  <si>
    <t>Halal</t>
  </si>
  <si>
    <t>Sonali Bank</t>
  </si>
  <si>
    <t>Govt</t>
  </si>
  <si>
    <t>📋 Amortization Table | Row 4-এ formula লেখো → Row 183 পর্যন্ত drag করো (১৮০ months)</t>
  </si>
  <si>
    <t>Note: 'Home Loan' sheet-এর inputs use করো। $ দিয়ে lock করো।</t>
  </si>
  <si>
    <t>Month</t>
  </si>
  <si>
    <t>Opening Balance</t>
  </si>
  <si>
    <t>Interest (IPMT)</t>
  </si>
  <si>
    <t>Principal (PPMT)</t>
  </si>
  <si>
    <t>Closing Balance</t>
  </si>
  <si>
    <t>Expected Answers</t>
  </si>
  <si>
    <t>Opening</t>
  </si>
  <si>
    <t>Interest</t>
  </si>
  <si>
    <t>Principal</t>
  </si>
  <si>
    <t>Closing</t>
  </si>
  <si>
    <t>1</t>
  </si>
  <si>
    <t>৳৩০,০০,০০০</t>
  </si>
  <si>
    <t>৳৩০,৪২৮</t>
  </si>
  <si>
    <t>৳২২,৫০০</t>
  </si>
  <si>
    <t>৳৭,৯২৮</t>
  </si>
  <si>
    <t>৳২৯,৯২,০৭২</t>
  </si>
  <si>
    <t>60</t>
  </si>
  <si>
    <t>৳২৫,৫২,৮৪৫</t>
  </si>
  <si>
    <t>৳১৯,১৪৬</t>
  </si>
  <si>
    <t>৳১১,২৮২</t>
  </si>
  <si>
    <t>৳২৫,৪১,৫৬৩</t>
  </si>
  <si>
    <t>120</t>
  </si>
  <si>
    <t>৳১৭,৬৩,৯৪৫</t>
  </si>
  <si>
    <t>৳১৩,২৩০</t>
  </si>
  <si>
    <t>৳১৭,১৯৮</t>
  </si>
  <si>
    <t>৳১৭,৪৬,৭৪৭</t>
  </si>
  <si>
    <t>180</t>
  </si>
  <si>
    <t>৳৩০,২০৫</t>
  </si>
  <si>
    <t>৳২২৭</t>
  </si>
  <si>
    <t>৳৩০,২০১</t>
  </si>
  <si>
    <t>≈ ৳০</t>
  </si>
  <si>
    <t>📊 Rate Sensitivity | 🟡 B column-এ PMT formula দাও | ৳৩০ লাখ, ১৫ বছর</t>
  </si>
  <si>
    <t>Monthly EMI</t>
  </si>
  <si>
    <t>Total 15yr</t>
  </si>
  <si>
    <t>Verdict</t>
  </si>
  <si>
    <t>💚 সবচেয়ে সস্তা</t>
  </si>
  <si>
    <t>💚 ভালো</t>
  </si>
  <si>
    <t>🟡 Base</t>
  </si>
  <si>
    <t>🔴 বেশি</t>
  </si>
  <si>
    <t>🔴 অনেক বেশি</t>
  </si>
  <si>
    <t>🔧 Bonus: What-If Data Table</t>
  </si>
  <si>
    <t>Data → What-If Analysis → Data Table। Row input: A4 (rate). Column: Loan amount. একটা table-এ সব combination!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</si>
</sst>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%"/>
  </numFmts>
  <fonts count="10" x14ac:knownFonts="1">
    <font>
      <sz val="11"/>
      <color theme="1"/>
      <name val="Calibri"/>
      <family val="2"/>
      <scheme val="minor"/>
    </font>
    <font>
      <b/>
      <sz val="11"/>
      <color rgb="FF1E3A8A"/>
      <name val="Arial"/>
    </font>
    <font>
      <b/>
      <sz val="11"/>
      <color rgb="FFFFFFFF"/>
      <name val="Arial"/>
    </font>
    <font>
      <b/>
      <sz val="11"/>
      <color rgb="FF111827"/>
      <name val="Arial"/>
    </font>
    <font>
      <sz val="11"/>
      <color rgb="FF111827"/>
      <name val="Arial"/>
    </font>
    <font>
      <i/>
      <sz val="10"/>
      <color rgb="FF7C3AED"/>
      <name val="Arial"/>
    </font>
    <font>
      <sz val="10"/>
      <color rgb="FF111827"/>
      <name val="Arial"/>
    </font>
    <font>
      <i/>
      <sz val="10"/>
      <color rgb="FF065F46"/>
      <name val="Arial"/>
    </font>
    <font>
      <b/>
      <sz val="11"/>
      <color rgb="FF92400E"/>
      <name val="Arial"/>
    </font>
    <font>
      <sz val="10"/>
      <color rgb="FF37415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065F46"/>
      </patternFill>
    </fill>
    <fill>
      <patternFill patternType="solid">
        <fgColor rgb="FFDCFCE7"/>
      </patternFill>
    </fill>
    <fill>
      <patternFill patternType="solid">
        <fgColor rgb="FF92400E"/>
      </patternFill>
    </fill>
    <fill>
      <patternFill patternType="solid">
        <fgColor rgb="FFF5F3FF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CFDF5"/>
      </patternFill>
    </fill>
    <fill>
      <patternFill patternType="solid">
        <fgColor rgb="FF374151"/>
      </patternFill>
    </fill>
    <fill>
      <patternFill patternType="solid">
        <fgColor rgb="FFF8FAFC"/>
      </patternFill>
    </fill>
    <fill>
      <patternFill patternType="solid">
        <fgColor rgb="FFFAEEDA"/>
      </patternFill>
    </fill>
    <fill>
      <patternFill patternType="solid">
        <fgColor rgb="FFFCEBEB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0" fontId="4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10" fontId="4" fillId="10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10" fontId="4" fillId="11" borderId="1" xfId="0" applyNumberFormat="1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0" fontId="4" fillId="14" borderId="1" xfId="0" applyNumberFormat="1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10" fontId="4" fillId="15" borderId="1" xfId="0" applyNumberFormat="1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1" fontId="5" fillId="8" borderId="0" xfId="0" applyNumberFormat="1" applyFont="1" applyFill="1" applyAlignment="1">
      <alignment horizontal="left" vertical="center"/>
    </xf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'Amortization Table'!$A$3:$A$183</c:f>
              <c:strCache>
                <c:ptCount val="181"/>
                <c:pt idx="0">
                  <c:v>Month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8196-403E-867E-88FC920B00E8}"/>
            </c:ext>
          </c:extLst>
        </c:ser>
        <c:ser>
          <c:idx val="1"/>
          <c:order val="1"/>
          <c:tx>
            <c:strRef>
              <c:f>'Amortization Table'!$D$3:$D$183</c:f>
              <c:strCache>
                <c:ptCount val="181"/>
                <c:pt idx="0">
                  <c:v>Interest (IPMT)</c:v>
                </c:pt>
                <c:pt idx="1">
                  <c:v>22,500</c:v>
                </c:pt>
                <c:pt idx="2">
                  <c:v>22,441</c:v>
                </c:pt>
                <c:pt idx="3">
                  <c:v>22,381</c:v>
                </c:pt>
                <c:pt idx="4">
                  <c:v>22,320</c:v>
                </c:pt>
                <c:pt idx="5">
                  <c:v>22,259</c:v>
                </c:pt>
                <c:pt idx="6">
                  <c:v>22,198</c:v>
                </c:pt>
                <c:pt idx="7">
                  <c:v>22,136</c:v>
                </c:pt>
                <c:pt idx="8">
                  <c:v>22,074</c:v>
                </c:pt>
                <c:pt idx="9">
                  <c:v>22,012</c:v>
                </c:pt>
                <c:pt idx="10">
                  <c:v>21,949</c:v>
                </c:pt>
                <c:pt idx="11">
                  <c:v>21,885</c:v>
                </c:pt>
                <c:pt idx="12">
                  <c:v>21,821</c:v>
                </c:pt>
                <c:pt idx="13">
                  <c:v>21,756</c:v>
                </c:pt>
                <c:pt idx="14">
                  <c:v>21,691</c:v>
                </c:pt>
                <c:pt idx="15">
                  <c:v>21,626</c:v>
                </c:pt>
                <c:pt idx="16">
                  <c:v>21,560</c:v>
                </c:pt>
                <c:pt idx="17">
                  <c:v>21,493</c:v>
                </c:pt>
                <c:pt idx="18">
                  <c:v>21,426</c:v>
                </c:pt>
                <c:pt idx="19">
                  <c:v>21,359</c:v>
                </c:pt>
                <c:pt idx="20">
                  <c:v>21,291</c:v>
                </c:pt>
                <c:pt idx="21">
                  <c:v>21,222</c:v>
                </c:pt>
                <c:pt idx="22">
                  <c:v>21,153</c:v>
                </c:pt>
                <c:pt idx="23">
                  <c:v>21,084</c:v>
                </c:pt>
                <c:pt idx="24">
                  <c:v>21,013</c:v>
                </c:pt>
                <c:pt idx="25">
                  <c:v>20,943</c:v>
                </c:pt>
                <c:pt idx="26">
                  <c:v>20,872</c:v>
                </c:pt>
                <c:pt idx="27">
                  <c:v>20,800</c:v>
                </c:pt>
                <c:pt idx="28">
                  <c:v>20,728</c:v>
                </c:pt>
                <c:pt idx="29">
                  <c:v>20,655</c:v>
                </c:pt>
                <c:pt idx="30">
                  <c:v>20,582</c:v>
                </c:pt>
                <c:pt idx="31">
                  <c:v>20,508</c:v>
                </c:pt>
                <c:pt idx="32">
                  <c:v>20,434</c:v>
                </c:pt>
                <c:pt idx="33">
                  <c:v>20,359</c:v>
                </c:pt>
                <c:pt idx="34">
                  <c:v>20,283</c:v>
                </c:pt>
                <c:pt idx="35">
                  <c:v>20,207</c:v>
                </c:pt>
                <c:pt idx="36">
                  <c:v>20,130</c:v>
                </c:pt>
                <c:pt idx="37">
                  <c:v>20,053</c:v>
                </c:pt>
                <c:pt idx="38">
                  <c:v>19,975</c:v>
                </c:pt>
                <c:pt idx="39">
                  <c:v>19,897</c:v>
                </c:pt>
                <c:pt idx="40">
                  <c:v>19,818</c:v>
                </c:pt>
                <c:pt idx="41">
                  <c:v>19,738</c:v>
                </c:pt>
                <c:pt idx="42">
                  <c:v>19,658</c:v>
                </c:pt>
                <c:pt idx="43">
                  <c:v>19,577</c:v>
                </c:pt>
                <c:pt idx="44">
                  <c:v>19,496</c:v>
                </c:pt>
                <c:pt idx="45">
                  <c:v>19,414</c:v>
                </c:pt>
                <c:pt idx="46">
                  <c:v>19,331</c:v>
                </c:pt>
                <c:pt idx="47">
                  <c:v>19,248</c:v>
                </c:pt>
                <c:pt idx="48">
                  <c:v>19,164</c:v>
                </c:pt>
                <c:pt idx="49">
                  <c:v>19,080</c:v>
                </c:pt>
                <c:pt idx="50">
                  <c:v>18,995</c:v>
                </c:pt>
                <c:pt idx="51">
                  <c:v>18,909</c:v>
                </c:pt>
                <c:pt idx="52">
                  <c:v>18,823</c:v>
                </c:pt>
                <c:pt idx="53">
                  <c:v>18,736</c:v>
                </c:pt>
                <c:pt idx="54">
                  <c:v>18,648</c:v>
                </c:pt>
                <c:pt idx="55">
                  <c:v>18,559</c:v>
                </c:pt>
                <c:pt idx="56">
                  <c:v>18,470</c:v>
                </c:pt>
                <c:pt idx="57">
                  <c:v>18,381</c:v>
                </c:pt>
                <c:pt idx="58">
                  <c:v>18,290</c:v>
                </c:pt>
                <c:pt idx="59">
                  <c:v>18,199</c:v>
                </c:pt>
                <c:pt idx="60">
                  <c:v>18,108</c:v>
                </c:pt>
                <c:pt idx="61">
                  <c:v>18,015</c:v>
                </c:pt>
                <c:pt idx="62">
                  <c:v>17,922</c:v>
                </c:pt>
                <c:pt idx="63">
                  <c:v>17,828</c:v>
                </c:pt>
                <c:pt idx="64">
                  <c:v>17,734</c:v>
                </c:pt>
                <c:pt idx="65">
                  <c:v>17,639</c:v>
                </c:pt>
                <c:pt idx="66">
                  <c:v>17,543</c:v>
                </c:pt>
                <c:pt idx="67">
                  <c:v>17,446</c:v>
                </c:pt>
                <c:pt idx="68">
                  <c:v>17,349</c:v>
                </c:pt>
                <c:pt idx="69">
                  <c:v>17,251</c:v>
                </c:pt>
                <c:pt idx="70">
                  <c:v>17,152</c:v>
                </c:pt>
                <c:pt idx="71">
                  <c:v>17,052</c:v>
                </c:pt>
                <c:pt idx="72">
                  <c:v>16,952</c:v>
                </c:pt>
                <c:pt idx="73">
                  <c:v>16,851</c:v>
                </c:pt>
                <c:pt idx="74">
                  <c:v>16,749</c:v>
                </c:pt>
                <c:pt idx="75">
                  <c:v>16,646</c:v>
                </c:pt>
                <c:pt idx="76">
                  <c:v>16,543</c:v>
                </c:pt>
                <c:pt idx="77">
                  <c:v>16,439</c:v>
                </c:pt>
                <c:pt idx="78">
                  <c:v>16,334</c:v>
                </c:pt>
                <c:pt idx="79">
                  <c:v>16,228</c:v>
                </c:pt>
                <c:pt idx="80">
                  <c:v>16,122</c:v>
                </c:pt>
                <c:pt idx="81">
                  <c:v>16,015</c:v>
                </c:pt>
                <c:pt idx="82">
                  <c:v>15,906</c:v>
                </c:pt>
                <c:pt idx="83">
                  <c:v>15,798</c:v>
                </c:pt>
                <c:pt idx="84">
                  <c:v>15,688</c:v>
                </c:pt>
                <c:pt idx="85">
                  <c:v>15,577</c:v>
                </c:pt>
                <c:pt idx="86">
                  <c:v>15,466</c:v>
                </c:pt>
                <c:pt idx="87">
                  <c:v>15,354</c:v>
                </c:pt>
                <c:pt idx="88">
                  <c:v>15,241</c:v>
                </c:pt>
                <c:pt idx="89">
                  <c:v>15,127</c:v>
                </c:pt>
                <c:pt idx="90">
                  <c:v>15,012</c:v>
                </c:pt>
                <c:pt idx="91">
                  <c:v>14,896</c:v>
                </c:pt>
                <c:pt idx="92">
                  <c:v>14,780</c:v>
                </c:pt>
                <c:pt idx="93">
                  <c:v>14,662</c:v>
                </c:pt>
                <c:pt idx="94">
                  <c:v>14,544</c:v>
                </c:pt>
                <c:pt idx="95">
                  <c:v>14,425</c:v>
                </c:pt>
                <c:pt idx="96">
                  <c:v>14,305</c:v>
                </c:pt>
                <c:pt idx="97">
                  <c:v>14,184</c:v>
                </c:pt>
                <c:pt idx="98">
                  <c:v>14,062</c:v>
                </c:pt>
                <c:pt idx="99">
                  <c:v>13,940</c:v>
                </c:pt>
                <c:pt idx="100">
                  <c:v>13,816</c:v>
                </c:pt>
                <c:pt idx="101">
                  <c:v>13,691</c:v>
                </c:pt>
                <c:pt idx="102">
                  <c:v>13,566</c:v>
                </c:pt>
                <c:pt idx="103">
                  <c:v>13,439</c:v>
                </c:pt>
                <c:pt idx="104">
                  <c:v>13,312</c:v>
                </c:pt>
                <c:pt idx="105">
                  <c:v>13,184</c:v>
                </c:pt>
                <c:pt idx="106">
                  <c:v>13,054</c:v>
                </c:pt>
                <c:pt idx="107">
                  <c:v>12,924</c:v>
                </c:pt>
                <c:pt idx="108">
                  <c:v>12,793</c:v>
                </c:pt>
                <c:pt idx="109">
                  <c:v>12,660</c:v>
                </c:pt>
                <c:pt idx="110">
                  <c:v>12,527</c:v>
                </c:pt>
                <c:pt idx="111">
                  <c:v>12,393</c:v>
                </c:pt>
                <c:pt idx="112">
                  <c:v>12,258</c:v>
                </c:pt>
                <c:pt idx="113">
                  <c:v>12,121</c:v>
                </c:pt>
                <c:pt idx="114">
                  <c:v>11,984</c:v>
                </c:pt>
                <c:pt idx="115">
                  <c:v>11,846</c:v>
                </c:pt>
                <c:pt idx="116">
                  <c:v>11,706</c:v>
                </c:pt>
                <c:pt idx="117">
                  <c:v>11,566</c:v>
                </c:pt>
                <c:pt idx="118">
                  <c:v>11,424</c:v>
                </c:pt>
                <c:pt idx="119">
                  <c:v>11,282</c:v>
                </c:pt>
                <c:pt idx="120">
                  <c:v>11,138</c:v>
                </c:pt>
                <c:pt idx="121">
                  <c:v>10,994</c:v>
                </c:pt>
                <c:pt idx="122">
                  <c:v>10,848</c:v>
                </c:pt>
                <c:pt idx="123">
                  <c:v>10,701</c:v>
                </c:pt>
                <c:pt idx="124">
                  <c:v>10,553</c:v>
                </c:pt>
                <c:pt idx="125">
                  <c:v>10,404</c:v>
                </c:pt>
                <c:pt idx="126">
                  <c:v>10,254</c:v>
                </c:pt>
                <c:pt idx="127">
                  <c:v>10,103</c:v>
                </c:pt>
                <c:pt idx="128">
                  <c:v>9,950</c:v>
                </c:pt>
                <c:pt idx="129">
                  <c:v>9,797</c:v>
                </c:pt>
                <c:pt idx="130">
                  <c:v>9,642</c:v>
                </c:pt>
                <c:pt idx="131">
                  <c:v>9,486</c:v>
                </c:pt>
                <c:pt idx="132">
                  <c:v>9,329</c:v>
                </c:pt>
                <c:pt idx="133">
                  <c:v>9,171</c:v>
                </c:pt>
                <c:pt idx="134">
                  <c:v>9,011</c:v>
                </c:pt>
                <c:pt idx="135">
                  <c:v>8,851</c:v>
                </c:pt>
                <c:pt idx="136">
                  <c:v>8,689</c:v>
                </c:pt>
                <c:pt idx="137">
                  <c:v>8,526</c:v>
                </c:pt>
                <c:pt idx="138">
                  <c:v>8,361</c:v>
                </c:pt>
                <c:pt idx="139">
                  <c:v>8,196</c:v>
                </c:pt>
                <c:pt idx="140">
                  <c:v>8,029</c:v>
                </c:pt>
                <c:pt idx="141">
                  <c:v>7,861</c:v>
                </c:pt>
                <c:pt idx="142">
                  <c:v>7,692</c:v>
                </c:pt>
                <c:pt idx="143">
                  <c:v>7,521</c:v>
                </c:pt>
                <c:pt idx="144">
                  <c:v>7,350</c:v>
                </c:pt>
                <c:pt idx="145">
                  <c:v>7,176</c:v>
                </c:pt>
                <c:pt idx="146">
                  <c:v>7,002</c:v>
                </c:pt>
                <c:pt idx="147">
                  <c:v>6,826</c:v>
                </c:pt>
                <c:pt idx="148">
                  <c:v>6,649</c:v>
                </c:pt>
                <c:pt idx="149">
                  <c:v>6,471</c:v>
                </c:pt>
                <c:pt idx="150">
                  <c:v>6,291</c:v>
                </c:pt>
                <c:pt idx="151">
                  <c:v>6,110</c:v>
                </c:pt>
                <c:pt idx="152">
                  <c:v>5,928</c:v>
                </c:pt>
                <c:pt idx="153">
                  <c:v>5,744</c:v>
                </c:pt>
                <c:pt idx="154">
                  <c:v>5,559</c:v>
                </c:pt>
                <c:pt idx="155">
                  <c:v>5,373</c:v>
                </c:pt>
                <c:pt idx="156">
                  <c:v>5,185</c:v>
                </c:pt>
                <c:pt idx="157">
                  <c:v>4,995</c:v>
                </c:pt>
                <c:pt idx="158">
                  <c:v>4,805</c:v>
                </c:pt>
                <c:pt idx="159">
                  <c:v>4,612</c:v>
                </c:pt>
                <c:pt idx="160">
                  <c:v>4,419</c:v>
                </c:pt>
                <c:pt idx="161">
                  <c:v>4,224</c:v>
                </c:pt>
                <c:pt idx="162">
                  <c:v>4,027</c:v>
                </c:pt>
                <c:pt idx="163">
                  <c:v>3,829</c:v>
                </c:pt>
                <c:pt idx="164">
                  <c:v>3,630</c:v>
                </c:pt>
                <c:pt idx="165">
                  <c:v>3,429</c:v>
                </c:pt>
                <c:pt idx="166">
                  <c:v>3,226</c:v>
                </c:pt>
                <c:pt idx="167">
                  <c:v>3,022</c:v>
                </c:pt>
                <c:pt idx="168">
                  <c:v>2,817</c:v>
                </c:pt>
                <c:pt idx="169">
                  <c:v>2,610</c:v>
                </c:pt>
                <c:pt idx="170">
                  <c:v>2,401</c:v>
                </c:pt>
                <c:pt idx="171">
                  <c:v>2,191</c:v>
                </c:pt>
                <c:pt idx="172">
                  <c:v>1,979</c:v>
                </c:pt>
                <c:pt idx="173">
                  <c:v>1,766</c:v>
                </c:pt>
                <c:pt idx="174">
                  <c:v>1,551</c:v>
                </c:pt>
                <c:pt idx="175">
                  <c:v>1,334</c:v>
                </c:pt>
                <c:pt idx="176">
                  <c:v>1,116</c:v>
                </c:pt>
                <c:pt idx="177">
                  <c:v>896</c:v>
                </c:pt>
                <c:pt idx="178">
                  <c:v>674</c:v>
                </c:pt>
                <c:pt idx="179">
                  <c:v>451</c:v>
                </c:pt>
                <c:pt idx="180">
                  <c:v>227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8196-403E-867E-88FC920B00E8}"/>
            </c:ext>
          </c:extLst>
        </c:ser>
        <c:ser>
          <c:idx val="2"/>
          <c:order val="2"/>
          <c:tx>
            <c:strRef>
              <c:f>'Amortization Table'!$E$3:$E$183</c:f>
              <c:strCache>
                <c:ptCount val="181"/>
                <c:pt idx="0">
                  <c:v>Principal (PPMT)</c:v>
                </c:pt>
                <c:pt idx="1">
                  <c:v>7,928</c:v>
                </c:pt>
                <c:pt idx="2">
                  <c:v>7,987</c:v>
                </c:pt>
                <c:pt idx="3">
                  <c:v>8,047</c:v>
                </c:pt>
                <c:pt idx="4">
                  <c:v>8,108</c:v>
                </c:pt>
                <c:pt idx="5">
                  <c:v>8,169</c:v>
                </c:pt>
                <c:pt idx="6">
                  <c:v>8,230</c:v>
                </c:pt>
                <c:pt idx="7">
                  <c:v>8,292</c:v>
                </c:pt>
                <c:pt idx="8">
                  <c:v>8,354</c:v>
                </c:pt>
                <c:pt idx="9">
                  <c:v>8,416</c:v>
                </c:pt>
                <c:pt idx="10">
                  <c:v>8,479</c:v>
                </c:pt>
                <c:pt idx="11">
                  <c:v>8,543</c:v>
                </c:pt>
                <c:pt idx="12">
                  <c:v>8,607</c:v>
                </c:pt>
                <c:pt idx="13">
                  <c:v>8,672</c:v>
                </c:pt>
                <c:pt idx="14">
                  <c:v>8,737</c:v>
                </c:pt>
                <c:pt idx="15">
                  <c:v>8,802</c:v>
                </c:pt>
                <c:pt idx="16">
                  <c:v>8,868</c:v>
                </c:pt>
                <c:pt idx="17">
                  <c:v>8,935</c:v>
                </c:pt>
                <c:pt idx="18">
                  <c:v>9,002</c:v>
                </c:pt>
                <c:pt idx="19">
                  <c:v>9,069</c:v>
                </c:pt>
                <c:pt idx="20">
                  <c:v>9,137</c:v>
                </c:pt>
                <c:pt idx="21">
                  <c:v>9,206</c:v>
                </c:pt>
                <c:pt idx="22">
                  <c:v>9,275</c:v>
                </c:pt>
                <c:pt idx="23">
                  <c:v>9,344</c:v>
                </c:pt>
                <c:pt idx="24">
                  <c:v>9,415</c:v>
                </c:pt>
                <c:pt idx="25">
                  <c:v>9,485</c:v>
                </c:pt>
                <c:pt idx="26">
                  <c:v>9,556</c:v>
                </c:pt>
                <c:pt idx="27">
                  <c:v>9,628</c:v>
                </c:pt>
                <c:pt idx="28">
                  <c:v>9,700</c:v>
                </c:pt>
                <c:pt idx="29">
                  <c:v>9,773</c:v>
                </c:pt>
                <c:pt idx="30">
                  <c:v>9,846</c:v>
                </c:pt>
                <c:pt idx="31">
                  <c:v>9,920</c:v>
                </c:pt>
                <c:pt idx="32">
                  <c:v>9,994</c:v>
                </c:pt>
                <c:pt idx="33">
                  <c:v>10,069</c:v>
                </c:pt>
                <c:pt idx="34">
                  <c:v>10,145</c:v>
                </c:pt>
                <c:pt idx="35">
                  <c:v>10,221</c:v>
                </c:pt>
                <c:pt idx="36">
                  <c:v>10,298</c:v>
                </c:pt>
                <c:pt idx="37">
                  <c:v>10,375</c:v>
                </c:pt>
                <c:pt idx="38">
                  <c:v>10,453</c:v>
                </c:pt>
                <c:pt idx="39">
                  <c:v>10,531</c:v>
                </c:pt>
                <c:pt idx="40">
                  <c:v>10,610</c:v>
                </c:pt>
                <c:pt idx="41">
                  <c:v>10,690</c:v>
                </c:pt>
                <c:pt idx="42">
                  <c:v>10,770</c:v>
                </c:pt>
                <c:pt idx="43">
                  <c:v>10,851</c:v>
                </c:pt>
                <c:pt idx="44">
                  <c:v>10,932</c:v>
                </c:pt>
                <c:pt idx="45">
                  <c:v>11,014</c:v>
                </c:pt>
                <c:pt idx="46">
                  <c:v>11,097</c:v>
                </c:pt>
                <c:pt idx="47">
                  <c:v>11,180</c:v>
                </c:pt>
                <c:pt idx="48">
                  <c:v>11,264</c:v>
                </c:pt>
                <c:pt idx="49">
                  <c:v>11,348</c:v>
                </c:pt>
                <c:pt idx="50">
                  <c:v>11,433</c:v>
                </c:pt>
                <c:pt idx="51">
                  <c:v>11,519</c:v>
                </c:pt>
                <c:pt idx="52">
                  <c:v>11,605</c:v>
                </c:pt>
                <c:pt idx="53">
                  <c:v>11,692</c:v>
                </c:pt>
                <c:pt idx="54">
                  <c:v>11,780</c:v>
                </c:pt>
                <c:pt idx="55">
                  <c:v>11,869</c:v>
                </c:pt>
                <c:pt idx="56">
                  <c:v>11,958</c:v>
                </c:pt>
                <c:pt idx="57">
                  <c:v>12,047</c:v>
                </c:pt>
                <c:pt idx="58">
                  <c:v>12,138</c:v>
                </c:pt>
                <c:pt idx="59">
                  <c:v>12,229</c:v>
                </c:pt>
                <c:pt idx="60">
                  <c:v>12,320</c:v>
                </c:pt>
                <c:pt idx="61">
                  <c:v>12,413</c:v>
                </c:pt>
                <c:pt idx="62">
                  <c:v>12,506</c:v>
                </c:pt>
                <c:pt idx="63">
                  <c:v>12,600</c:v>
                </c:pt>
                <c:pt idx="64">
                  <c:v>12,694</c:v>
                </c:pt>
                <c:pt idx="65">
                  <c:v>12,789</c:v>
                </c:pt>
                <c:pt idx="66">
                  <c:v>12,885</c:v>
                </c:pt>
                <c:pt idx="67">
                  <c:v>12,982</c:v>
                </c:pt>
                <c:pt idx="68">
                  <c:v>13,079</c:v>
                </c:pt>
                <c:pt idx="69">
                  <c:v>13,177</c:v>
                </c:pt>
                <c:pt idx="70">
                  <c:v>13,276</c:v>
                </c:pt>
                <c:pt idx="71">
                  <c:v>13,376</c:v>
                </c:pt>
                <c:pt idx="72">
                  <c:v>13,476</c:v>
                </c:pt>
                <c:pt idx="73">
                  <c:v>13,577</c:v>
                </c:pt>
                <c:pt idx="74">
                  <c:v>13,679</c:v>
                </c:pt>
                <c:pt idx="75">
                  <c:v>13,782</c:v>
                </c:pt>
                <c:pt idx="76">
                  <c:v>13,885</c:v>
                </c:pt>
                <c:pt idx="77">
                  <c:v>13,989</c:v>
                </c:pt>
                <c:pt idx="78">
                  <c:v>14,094</c:v>
                </c:pt>
                <c:pt idx="79">
                  <c:v>14,200</c:v>
                </c:pt>
                <c:pt idx="80">
                  <c:v>14,306</c:v>
                </c:pt>
                <c:pt idx="81">
                  <c:v>14,413</c:v>
                </c:pt>
                <c:pt idx="82">
                  <c:v>14,522</c:v>
                </c:pt>
                <c:pt idx="83">
                  <c:v>14,630</c:v>
                </c:pt>
                <c:pt idx="84">
                  <c:v>14,740</c:v>
                </c:pt>
                <c:pt idx="85">
                  <c:v>14,851</c:v>
                </c:pt>
                <c:pt idx="86">
                  <c:v>14,962</c:v>
                </c:pt>
                <c:pt idx="87">
                  <c:v>15,074</c:v>
                </c:pt>
                <c:pt idx="88">
                  <c:v>15,187</c:v>
                </c:pt>
                <c:pt idx="89">
                  <c:v>15,301</c:v>
                </c:pt>
                <c:pt idx="90">
                  <c:v>15,416</c:v>
                </c:pt>
                <c:pt idx="91">
                  <c:v>15,532</c:v>
                </c:pt>
                <c:pt idx="92">
                  <c:v>15,648</c:v>
                </c:pt>
                <c:pt idx="93">
                  <c:v>15,766</c:v>
                </c:pt>
                <c:pt idx="94">
                  <c:v>15,884</c:v>
                </c:pt>
                <c:pt idx="95">
                  <c:v>16,003</c:v>
                </c:pt>
                <c:pt idx="96">
                  <c:v>16,123</c:v>
                </c:pt>
                <c:pt idx="97">
                  <c:v>16,244</c:v>
                </c:pt>
                <c:pt idx="98">
                  <c:v>16,366</c:v>
                </c:pt>
                <c:pt idx="99">
                  <c:v>16,488</c:v>
                </c:pt>
                <c:pt idx="100">
                  <c:v>16,612</c:v>
                </c:pt>
                <c:pt idx="101">
                  <c:v>16,737</c:v>
                </c:pt>
                <c:pt idx="102">
                  <c:v>16,862</c:v>
                </c:pt>
                <c:pt idx="103">
                  <c:v>16,989</c:v>
                </c:pt>
                <c:pt idx="104">
                  <c:v>17,116</c:v>
                </c:pt>
                <c:pt idx="105">
                  <c:v>17,244</c:v>
                </c:pt>
                <c:pt idx="106">
                  <c:v>17,374</c:v>
                </c:pt>
                <c:pt idx="107">
                  <c:v>17,504</c:v>
                </c:pt>
                <c:pt idx="108">
                  <c:v>17,635</c:v>
                </c:pt>
                <c:pt idx="109">
                  <c:v>17,768</c:v>
                </c:pt>
                <c:pt idx="110">
                  <c:v>17,901</c:v>
                </c:pt>
                <c:pt idx="111">
                  <c:v>18,035</c:v>
                </c:pt>
                <c:pt idx="112">
                  <c:v>18,170</c:v>
                </c:pt>
                <c:pt idx="113">
                  <c:v>18,307</c:v>
                </c:pt>
                <c:pt idx="114">
                  <c:v>18,444</c:v>
                </c:pt>
                <c:pt idx="115">
                  <c:v>18,582</c:v>
                </c:pt>
                <c:pt idx="116">
                  <c:v>18,722</c:v>
                </c:pt>
                <c:pt idx="117">
                  <c:v>18,862</c:v>
                </c:pt>
                <c:pt idx="118">
                  <c:v>19,004</c:v>
                </c:pt>
                <c:pt idx="119">
                  <c:v>19,146</c:v>
                </c:pt>
                <c:pt idx="120">
                  <c:v>19,290</c:v>
                </c:pt>
                <c:pt idx="121">
                  <c:v>19,434</c:v>
                </c:pt>
                <c:pt idx="122">
                  <c:v>19,580</c:v>
                </c:pt>
                <c:pt idx="123">
                  <c:v>19,727</c:v>
                </c:pt>
                <c:pt idx="124">
                  <c:v>19,875</c:v>
                </c:pt>
                <c:pt idx="125">
                  <c:v>20,024</c:v>
                </c:pt>
                <c:pt idx="126">
                  <c:v>20,174</c:v>
                </c:pt>
                <c:pt idx="127">
                  <c:v>20,325</c:v>
                </c:pt>
                <c:pt idx="128">
                  <c:v>20,478</c:v>
                </c:pt>
                <c:pt idx="129">
                  <c:v>20,631</c:v>
                </c:pt>
                <c:pt idx="130">
                  <c:v>20,786</c:v>
                </c:pt>
                <c:pt idx="131">
                  <c:v>20,942</c:v>
                </c:pt>
                <c:pt idx="132">
                  <c:v>21,099</c:v>
                </c:pt>
                <c:pt idx="133">
                  <c:v>21,257</c:v>
                </c:pt>
                <c:pt idx="134">
                  <c:v>21,417</c:v>
                </c:pt>
                <c:pt idx="135">
                  <c:v>21,577</c:v>
                </c:pt>
                <c:pt idx="136">
                  <c:v>21,739</c:v>
                </c:pt>
                <c:pt idx="137">
                  <c:v>21,902</c:v>
                </c:pt>
                <c:pt idx="138">
                  <c:v>22,067</c:v>
                </c:pt>
                <c:pt idx="139">
                  <c:v>22,232</c:v>
                </c:pt>
                <c:pt idx="140">
                  <c:v>22,399</c:v>
                </c:pt>
                <c:pt idx="141">
                  <c:v>22,567</c:v>
                </c:pt>
                <c:pt idx="142">
                  <c:v>22,736</c:v>
                </c:pt>
                <c:pt idx="143">
                  <c:v>22,907</c:v>
                </c:pt>
                <c:pt idx="144">
                  <c:v>23,078</c:v>
                </c:pt>
                <c:pt idx="145">
                  <c:v>23,252</c:v>
                </c:pt>
                <c:pt idx="146">
                  <c:v>23,426</c:v>
                </c:pt>
                <c:pt idx="147">
                  <c:v>23,602</c:v>
                </c:pt>
                <c:pt idx="148">
                  <c:v>23,779</c:v>
                </c:pt>
                <c:pt idx="149">
                  <c:v>23,957</c:v>
                </c:pt>
                <c:pt idx="150">
                  <c:v>24,137</c:v>
                </c:pt>
                <c:pt idx="151">
                  <c:v>24,318</c:v>
                </c:pt>
                <c:pt idx="152">
                  <c:v>24,500</c:v>
                </c:pt>
                <c:pt idx="153">
                  <c:v>24,684</c:v>
                </c:pt>
                <c:pt idx="154">
                  <c:v>24,869</c:v>
                </c:pt>
                <c:pt idx="155">
                  <c:v>25,055</c:v>
                </c:pt>
                <c:pt idx="156">
                  <c:v>25,243</c:v>
                </c:pt>
                <c:pt idx="157">
                  <c:v>25,433</c:v>
                </c:pt>
                <c:pt idx="158">
                  <c:v>25,623</c:v>
                </c:pt>
                <c:pt idx="159">
                  <c:v>25,816</c:v>
                </c:pt>
                <c:pt idx="160">
                  <c:v>26,009</c:v>
                </c:pt>
                <c:pt idx="161">
                  <c:v>26,204</c:v>
                </c:pt>
                <c:pt idx="162">
                  <c:v>26,401</c:v>
                </c:pt>
                <c:pt idx="163">
                  <c:v>26,599</c:v>
                </c:pt>
                <c:pt idx="164">
                  <c:v>26,798</c:v>
                </c:pt>
                <c:pt idx="165">
                  <c:v>26,999</c:v>
                </c:pt>
                <c:pt idx="166">
                  <c:v>27,202</c:v>
                </c:pt>
                <c:pt idx="167">
                  <c:v>27,406</c:v>
                </c:pt>
                <c:pt idx="168">
                  <c:v>27,611</c:v>
                </c:pt>
                <c:pt idx="169">
                  <c:v>27,818</c:v>
                </c:pt>
                <c:pt idx="170">
                  <c:v>28,027</c:v>
                </c:pt>
                <c:pt idx="171">
                  <c:v>28,237</c:v>
                </c:pt>
                <c:pt idx="172">
                  <c:v>28,449</c:v>
                </c:pt>
                <c:pt idx="173">
                  <c:v>28,662</c:v>
                </c:pt>
                <c:pt idx="174">
                  <c:v>28,877</c:v>
                </c:pt>
                <c:pt idx="175">
                  <c:v>29,094</c:v>
                </c:pt>
                <c:pt idx="176">
                  <c:v>29,312</c:v>
                </c:pt>
                <c:pt idx="177">
                  <c:v>29,532</c:v>
                </c:pt>
                <c:pt idx="178">
                  <c:v>29,754</c:v>
                </c:pt>
                <c:pt idx="179">
                  <c:v>29,977</c:v>
                </c:pt>
                <c:pt idx="180">
                  <c:v>30,201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8196-403E-867E-88FC920B0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709232"/>
        <c:axId val="300205408"/>
      </c:lineChart>
      <c:catAx>
        <c:axId val="30070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05408"/>
        <c:crosses val="autoZero"/>
        <c:auto val="1"/>
        <c:lblAlgn val="ctr"/>
        <c:lblOffset val="100"/>
        <c:noMultiLvlLbl val="0"/>
      </c:catAx>
      <c:valAx>
        <c:axId val="3002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0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</a:t>
            </a:r>
            <a:r>
              <a:rPr lang="en-US" baseline="0"/>
              <a:t> Interest vs Principal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'Amortization Table'!$A$3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'Amortization Table'!$A$4:$A$183</c:f>
              <c:numCache>
                <c:formatCode>0</c:formatCode>
                <c:ptCount val="1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E-4E64-A5D5-94EF235D5D69}"/>
            </c:ext>
          </c:extLst>
        </c:ser>
        <c:ser>
          <c:idx val="1"/>
          <c:order val="1"/>
          <c:tx>
            <c:strRef>
              <c:f>'Amortization Table'!$D$3</c:f>
              <c:strCache>
                <c:ptCount val="1"/>
                <c:pt idx="0">
                  <c:v>Interest (IPMT)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'Amortization Table'!$D$4:$D$183</c:f>
              <c:numCache>
                <c:formatCode>#,##0</c:formatCode>
                <c:ptCount val="180"/>
                <c:pt idx="0">
                  <c:v>22500</c:v>
                </c:pt>
                <c:pt idx="1">
                  <c:v>22440.540018563599</c:v>
                </c:pt>
                <c:pt idx="2">
                  <c:v>22380.634087266426</c:v>
                </c:pt>
                <c:pt idx="3">
                  <c:v>22320.278861484519</c:v>
                </c:pt>
                <c:pt idx="4">
                  <c:v>22259.470971509254</c:v>
                </c:pt>
                <c:pt idx="5">
                  <c:v>22198.207022359173</c:v>
                </c:pt>
                <c:pt idx="6">
                  <c:v>22136.483593590463</c:v>
                </c:pt>
                <c:pt idx="7">
                  <c:v>22074.297239105988</c:v>
                </c:pt>
                <c:pt idx="8">
                  <c:v>22011.644486962883</c:v>
                </c:pt>
                <c:pt idx="9">
                  <c:v>21948.521839178706</c:v>
                </c:pt>
                <c:pt idx="10">
                  <c:v>21884.925771536142</c:v>
                </c:pt>
                <c:pt idx="11">
                  <c:v>21820.852733386258</c:v>
                </c:pt>
                <c:pt idx="12">
                  <c:v>21756.299147450256</c:v>
                </c:pt>
                <c:pt idx="13">
                  <c:v>21691.261409619729</c:v>
                </c:pt>
                <c:pt idx="14">
                  <c:v>21625.735888755476</c:v>
                </c:pt>
                <c:pt idx="15">
                  <c:v>21559.718926484737</c:v>
                </c:pt>
                <c:pt idx="16">
                  <c:v>21493.206836996975</c:v>
                </c:pt>
                <c:pt idx="17">
                  <c:v>21426.195906838049</c:v>
                </c:pt>
                <c:pt idx="18">
                  <c:v>21358.682394702937</c:v>
                </c:pt>
                <c:pt idx="19">
                  <c:v>21290.662531226808</c:v>
                </c:pt>
                <c:pt idx="20">
                  <c:v>21222.132518774601</c:v>
                </c:pt>
                <c:pt idx="21">
                  <c:v>21153.088531229012</c:v>
                </c:pt>
                <c:pt idx="22">
                  <c:v>21083.526713776831</c:v>
                </c:pt>
                <c:pt idx="23">
                  <c:v>21013.443182693754</c:v>
                </c:pt>
                <c:pt idx="24">
                  <c:v>20942.834025127555</c:v>
                </c:pt>
                <c:pt idx="25">
                  <c:v>20871.695298879611</c:v>
                </c:pt>
                <c:pt idx="26">
                  <c:v>20800.02303218481</c:v>
                </c:pt>
                <c:pt idx="27">
                  <c:v>20727.813223489789</c:v>
                </c:pt>
                <c:pt idx="28">
                  <c:v>20655.061841229563</c:v>
                </c:pt>
                <c:pt idx="29">
                  <c:v>20581.764823602382</c:v>
                </c:pt>
                <c:pt idx="30">
                  <c:v>20507.918078342998</c:v>
                </c:pt>
                <c:pt idx="31">
                  <c:v>20433.517482494168</c:v>
                </c:pt>
                <c:pt idx="32">
                  <c:v>20358.558882176472</c:v>
                </c:pt>
                <c:pt idx="33">
                  <c:v>20283.038092356397</c:v>
                </c:pt>
                <c:pt idx="34">
                  <c:v>20206.95089661267</c:v>
                </c:pt>
                <c:pt idx="35">
                  <c:v>20130.293046900861</c:v>
                </c:pt>
                <c:pt idx="36">
                  <c:v>20053.060263316213</c:v>
                </c:pt>
                <c:pt idx="37">
                  <c:v>19975.248233854687</c:v>
                </c:pt>
                <c:pt idx="38">
                  <c:v>19896.852614172192</c:v>
                </c:pt>
                <c:pt idx="39">
                  <c:v>19817.869027342087</c:v>
                </c:pt>
                <c:pt idx="40">
                  <c:v>19738.293063610749</c:v>
                </c:pt>
                <c:pt idx="41">
                  <c:v>19658.120280151426</c:v>
                </c:pt>
                <c:pt idx="42">
                  <c:v>19577.346200816162</c:v>
                </c:pt>
                <c:pt idx="43">
                  <c:v>19495.966315885882</c:v>
                </c:pt>
                <c:pt idx="44">
                  <c:v>19413.976081818619</c:v>
                </c:pt>
                <c:pt idx="45">
                  <c:v>19331.370920995862</c:v>
                </c:pt>
                <c:pt idx="46">
                  <c:v>19248.14622146693</c:v>
                </c:pt>
                <c:pt idx="47">
                  <c:v>19164.297336691525</c:v>
                </c:pt>
                <c:pt idx="48">
                  <c:v>19079.819585280315</c:v>
                </c:pt>
                <c:pt idx="49">
                  <c:v>18994.708250733514</c:v>
                </c:pt>
                <c:pt idx="50">
                  <c:v>18908.958581177612</c:v>
                </c:pt>
                <c:pt idx="51">
                  <c:v>18822.565789100045</c:v>
                </c:pt>
                <c:pt idx="52">
                  <c:v>18735.525051081891</c:v>
                </c:pt>
                <c:pt idx="53">
                  <c:v>18647.831507528605</c:v>
                </c:pt>
                <c:pt idx="54">
                  <c:v>18559.480262398669</c:v>
                </c:pt>
                <c:pt idx="55">
                  <c:v>18470.466382930255</c:v>
                </c:pt>
                <c:pt idx="56">
                  <c:v>18380.78489936583</c:v>
                </c:pt>
                <c:pt idx="57">
                  <c:v>18290.430804674677</c:v>
                </c:pt>
                <c:pt idx="58">
                  <c:v>18199.39905427333</c:v>
                </c:pt>
                <c:pt idx="59">
                  <c:v>18107.684565743981</c:v>
                </c:pt>
                <c:pt idx="60">
                  <c:v>18015.282218550663</c:v>
                </c:pt>
                <c:pt idx="61">
                  <c:v>17922.186853753388</c:v>
                </c:pt>
                <c:pt idx="62">
                  <c:v>17828.393273720136</c:v>
                </c:pt>
                <c:pt idx="63">
                  <c:v>17733.896241836635</c:v>
                </c:pt>
                <c:pt idx="64">
                  <c:v>17638.690482214006</c:v>
                </c:pt>
                <c:pt idx="65">
                  <c:v>17542.770679394212</c:v>
                </c:pt>
                <c:pt idx="66">
                  <c:v>17446.13147805327</c:v>
                </c:pt>
                <c:pt idx="67">
                  <c:v>17348.767482702267</c:v>
                </c:pt>
                <c:pt idx="68">
                  <c:v>17250.673257386134</c:v>
                </c:pt>
                <c:pt idx="69">
                  <c:v>17151.843325380127</c:v>
                </c:pt>
                <c:pt idx="70">
                  <c:v>17052.272168884076</c:v>
                </c:pt>
                <c:pt idx="71">
                  <c:v>16951.954228714305</c:v>
                </c:pt>
                <c:pt idx="72">
                  <c:v>16850.883903993261</c:v>
                </c:pt>
                <c:pt idx="73">
                  <c:v>16749.055551836806</c:v>
                </c:pt>
                <c:pt idx="74">
                  <c:v>16646.463487039182</c:v>
                </c:pt>
                <c:pt idx="75">
                  <c:v>16543.101981755572</c:v>
                </c:pt>
                <c:pt idx="76">
                  <c:v>16438.965265182338</c:v>
                </c:pt>
                <c:pt idx="77">
                  <c:v>16334.047523234804</c:v>
                </c:pt>
                <c:pt idx="78">
                  <c:v>16228.342898222665</c:v>
                </c:pt>
                <c:pt idx="79">
                  <c:v>16121.845488522931</c:v>
                </c:pt>
                <c:pt idx="80">
                  <c:v>16014.549348250452</c:v>
                </c:pt>
                <c:pt idx="81">
                  <c:v>15906.44848692593</c:v>
                </c:pt>
                <c:pt idx="82">
                  <c:v>15797.536869141471</c:v>
                </c:pt>
                <c:pt idx="83">
                  <c:v>15687.808414223633</c:v>
                </c:pt>
                <c:pt idx="84">
                  <c:v>15577.256995893908</c:v>
                </c:pt>
                <c:pt idx="85">
                  <c:v>15465.87644192671</c:v>
                </c:pt>
                <c:pt idx="86">
                  <c:v>15353.660533804759</c:v>
                </c:pt>
                <c:pt idx="87">
                  <c:v>15240.603006371894</c:v>
                </c:pt>
                <c:pt idx="88">
                  <c:v>15126.69754748328</c:v>
                </c:pt>
                <c:pt idx="89">
                  <c:v>15011.937797653007</c:v>
                </c:pt>
                <c:pt idx="90">
                  <c:v>14896.317349699</c:v>
                </c:pt>
                <c:pt idx="91">
                  <c:v>14779.829748385342</c:v>
                </c:pt>
                <c:pt idx="92">
                  <c:v>14662.468490061829</c:v>
                </c:pt>
                <c:pt idx="93">
                  <c:v>14544.227022300891</c:v>
                </c:pt>
                <c:pt idx="94">
                  <c:v>14425.098743531744</c:v>
                </c:pt>
                <c:pt idx="95">
                  <c:v>14305.077002671833</c:v>
                </c:pt>
                <c:pt idx="96">
                  <c:v>14184.155098755471</c:v>
                </c:pt>
                <c:pt idx="97">
                  <c:v>14062.326280559733</c:v>
                </c:pt>
                <c:pt idx="98">
                  <c:v>13939.583746227532</c:v>
                </c:pt>
                <c:pt idx="99">
                  <c:v>13815.920642887835</c:v>
                </c:pt>
                <c:pt idx="100">
                  <c:v>13691.330066273089</c:v>
                </c:pt>
                <c:pt idx="101">
                  <c:v>13565.80506033374</c:v>
                </c:pt>
                <c:pt idx="102">
                  <c:v>13439.338616849842</c:v>
                </c:pt>
                <c:pt idx="103">
                  <c:v>13311.923675039814</c:v>
                </c:pt>
                <c:pt idx="104">
                  <c:v>13183.553121166209</c:v>
                </c:pt>
                <c:pt idx="105">
                  <c:v>13054.219788138555</c:v>
                </c:pt>
                <c:pt idx="106">
                  <c:v>12923.916455113193</c:v>
                </c:pt>
                <c:pt idx="107">
                  <c:v>12792.63584709014</c:v>
                </c:pt>
                <c:pt idx="108">
                  <c:v>12660.370634506911</c:v>
                </c:pt>
                <c:pt idx="109">
                  <c:v>12527.113432829314</c:v>
                </c:pt>
                <c:pt idx="110">
                  <c:v>12392.856802139135</c:v>
                </c:pt>
                <c:pt idx="111">
                  <c:v>12257.593246718774</c:v>
                </c:pt>
                <c:pt idx="112">
                  <c:v>12121.315214632765</c:v>
                </c:pt>
                <c:pt idx="113">
                  <c:v>11984.015097306108</c:v>
                </c:pt>
                <c:pt idx="114">
                  <c:v>11845.685229099501</c:v>
                </c:pt>
                <c:pt idx="115">
                  <c:v>11706.317886881345</c:v>
                </c:pt>
                <c:pt idx="116">
                  <c:v>11565.905289596554</c:v>
                </c:pt>
                <c:pt idx="117">
                  <c:v>11424.439597832126</c:v>
                </c:pt>
                <c:pt idx="118">
                  <c:v>11281.912913379467</c:v>
                </c:pt>
                <c:pt idx="119">
                  <c:v>11138.317278793411</c:v>
                </c:pt>
                <c:pt idx="120">
                  <c:v>10993.644676947959</c:v>
                </c:pt>
                <c:pt idx="121">
                  <c:v>10847.887030588667</c:v>
                </c:pt>
                <c:pt idx="122">
                  <c:v>10701.036201881681</c:v>
                </c:pt>
                <c:pt idx="123">
                  <c:v>10553.083991959393</c:v>
                </c:pt>
                <c:pt idx="124">
                  <c:v>10404.022140462686</c:v>
                </c:pt>
                <c:pt idx="125">
                  <c:v>10253.842325079757</c:v>
                </c:pt>
                <c:pt idx="126">
                  <c:v>10102.536161081451</c:v>
                </c:pt>
                <c:pt idx="127">
                  <c:v>9950.0952008531603</c:v>
                </c:pt>
                <c:pt idx="128">
                  <c:v>9796.5109334231583</c:v>
                </c:pt>
                <c:pt idx="129">
                  <c:v>9641.7747839874301</c:v>
                </c:pt>
                <c:pt idx="130">
                  <c:v>9485.8781134309338</c:v>
                </c:pt>
                <c:pt idx="131">
                  <c:v>9328.812217845265</c:v>
                </c:pt>
                <c:pt idx="132">
                  <c:v>9170.5683280427002</c:v>
                </c:pt>
                <c:pt idx="133">
                  <c:v>9011.1376090666217</c:v>
                </c:pt>
                <c:pt idx="134">
                  <c:v>8850.5111596982169</c:v>
                </c:pt>
                <c:pt idx="135">
                  <c:v>8688.6800119595537</c:v>
                </c:pt>
                <c:pt idx="136">
                  <c:v>8525.6351306128472</c:v>
                </c:pt>
                <c:pt idx="137">
                  <c:v>8361.3674126560436</c:v>
                </c:pt>
                <c:pt idx="138">
                  <c:v>8195.8676868145612</c:v>
                </c:pt>
                <c:pt idx="139">
                  <c:v>8029.1267130292708</c:v>
                </c:pt>
                <c:pt idx="140">
                  <c:v>7861.1351819405863</c:v>
                </c:pt>
                <c:pt idx="141">
                  <c:v>7691.8837143687415</c:v>
                </c:pt>
                <c:pt idx="142">
                  <c:v>7521.3628607901046</c:v>
                </c:pt>
                <c:pt idx="143">
                  <c:v>7349.5631008096288</c:v>
                </c:pt>
                <c:pt idx="144">
                  <c:v>7176.474842629299</c:v>
                </c:pt>
                <c:pt idx="145">
                  <c:v>7002.0884225126174</c:v>
                </c:pt>
                <c:pt idx="146">
                  <c:v>6826.3941042450588</c:v>
                </c:pt>
                <c:pt idx="147">
                  <c:v>6649.3820785904963</c:v>
                </c:pt>
                <c:pt idx="148">
                  <c:v>6471.0424627435241</c:v>
                </c:pt>
                <c:pt idx="149">
                  <c:v>6291.365299777699</c:v>
                </c:pt>
                <c:pt idx="150">
                  <c:v>6110.3405580896297</c:v>
                </c:pt>
                <c:pt idx="151">
                  <c:v>5927.9581308388997</c:v>
                </c:pt>
                <c:pt idx="152">
                  <c:v>5744.2078353837906</c:v>
                </c:pt>
                <c:pt idx="153">
                  <c:v>5559.0794127127656</c:v>
                </c:pt>
                <c:pt idx="154">
                  <c:v>5372.5625268717113</c:v>
                </c:pt>
                <c:pt idx="155">
                  <c:v>5184.6467643868473</c:v>
                </c:pt>
                <c:pt idx="156">
                  <c:v>4995.3216336833466</c:v>
                </c:pt>
                <c:pt idx="157">
                  <c:v>4804.5765644995699</c:v>
                </c:pt>
                <c:pt idx="158">
                  <c:v>4612.4009072969147</c:v>
                </c:pt>
                <c:pt idx="159">
                  <c:v>4418.7839326652402</c:v>
                </c:pt>
                <c:pt idx="160">
                  <c:v>4223.7148307238276</c:v>
                </c:pt>
                <c:pt idx="161">
                  <c:v>4027.1827105178559</c:v>
                </c:pt>
                <c:pt idx="162">
                  <c:v>3829.1765994103375</c:v>
                </c:pt>
                <c:pt idx="163">
                  <c:v>3629.6854424695139</c:v>
                </c:pt>
                <c:pt idx="164">
                  <c:v>3428.6981018516335</c:v>
                </c:pt>
                <c:pt idx="165">
                  <c:v>3226.2033561791195</c:v>
                </c:pt>
                <c:pt idx="166">
                  <c:v>3022.1898999140612</c:v>
                </c:pt>
                <c:pt idx="167">
                  <c:v>2816.6463427270155</c:v>
                </c:pt>
                <c:pt idx="168">
                  <c:v>2609.561208861066</c:v>
                </c:pt>
                <c:pt idx="169">
                  <c:v>2400.9229364911221</c:v>
                </c:pt>
                <c:pt idx="170">
                  <c:v>2190.7198770784044</c:v>
                </c:pt>
                <c:pt idx="171">
                  <c:v>1978.9402947200902</c:v>
                </c:pt>
                <c:pt idx="172">
                  <c:v>1765.5723654940896</c:v>
                </c:pt>
                <c:pt idx="173">
                  <c:v>1550.6041767988936</c:v>
                </c:pt>
                <c:pt idx="174">
                  <c:v>1334.0237266884835</c:v>
                </c:pt>
                <c:pt idx="175">
                  <c:v>1115.8189232022457</c:v>
                </c:pt>
                <c:pt idx="176">
                  <c:v>895.97758368986104</c:v>
                </c:pt>
                <c:pt idx="177">
                  <c:v>674.48743413113323</c:v>
                </c:pt>
                <c:pt idx="178">
                  <c:v>451.33610845071519</c:v>
                </c:pt>
                <c:pt idx="179">
                  <c:v>226.51114782769395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E-4E64-A5D5-94EF235D5D69}"/>
            </c:ext>
          </c:extLst>
        </c:ser>
        <c:ser>
          <c:idx val="2"/>
          <c:order val="2"/>
          <c:tx>
            <c:strRef>
              <c:f>'Amortization Table'!$E$3</c:f>
              <c:strCache>
                <c:ptCount val="1"/>
                <c:pt idx="0">
                  <c:v>Principal (PPMT)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'Amortization Table'!$E$4:$E$183</c:f>
              <c:numCache>
                <c:formatCode>#,##0</c:formatCode>
                <c:ptCount val="180"/>
                <c:pt idx="0">
                  <c:v>7927.9975248535484</c:v>
                </c:pt>
                <c:pt idx="1">
                  <c:v>7987.4575062899494</c:v>
                </c:pt>
                <c:pt idx="2">
                  <c:v>8047.3634375871225</c:v>
                </c:pt>
                <c:pt idx="3">
                  <c:v>8107.7186633690289</c:v>
                </c:pt>
                <c:pt idx="4">
                  <c:v>8168.5265533442944</c:v>
                </c:pt>
                <c:pt idx="5">
                  <c:v>8229.7905024943757</c:v>
                </c:pt>
                <c:pt idx="6">
                  <c:v>8291.5139312630854</c:v>
                </c:pt>
                <c:pt idx="7">
                  <c:v>8353.70028574756</c:v>
                </c:pt>
                <c:pt idx="8">
                  <c:v>8416.3530378906653</c:v>
                </c:pt>
                <c:pt idx="9">
                  <c:v>8479.4756856748427</c:v>
                </c:pt>
                <c:pt idx="10">
                  <c:v>8543.0717533174065</c:v>
                </c:pt>
                <c:pt idx="11">
                  <c:v>8607.1447914672899</c:v>
                </c:pt>
                <c:pt idx="12">
                  <c:v>8671.6983774032924</c:v>
                </c:pt>
                <c:pt idx="13">
                  <c:v>8736.7361152338199</c:v>
                </c:pt>
                <c:pt idx="14">
                  <c:v>8802.2616360980719</c:v>
                </c:pt>
                <c:pt idx="15">
                  <c:v>8868.2785983688118</c:v>
                </c:pt>
                <c:pt idx="16">
                  <c:v>8934.7906878565736</c:v>
                </c:pt>
                <c:pt idx="17">
                  <c:v>9001.8016180154991</c:v>
                </c:pt>
                <c:pt idx="18">
                  <c:v>9069.3151301506114</c:v>
                </c:pt>
                <c:pt idx="19">
                  <c:v>9137.3349936267405</c:v>
                </c:pt>
                <c:pt idx="20">
                  <c:v>9205.8650060789478</c:v>
                </c:pt>
                <c:pt idx="21">
                  <c:v>9274.9089936245364</c:v>
                </c:pt>
                <c:pt idx="22">
                  <c:v>9344.4708110767169</c:v>
                </c:pt>
                <c:pt idx="23">
                  <c:v>9414.554342159794</c:v>
                </c:pt>
                <c:pt idx="24">
                  <c:v>9485.1634997259935</c:v>
                </c:pt>
                <c:pt idx="25">
                  <c:v>9556.3022259739373</c:v>
                </c:pt>
                <c:pt idx="26">
                  <c:v>9627.9744926687381</c:v>
                </c:pt>
                <c:pt idx="27">
                  <c:v>9700.184301363759</c:v>
                </c:pt>
                <c:pt idx="28">
                  <c:v>9772.9356836239858</c:v>
                </c:pt>
                <c:pt idx="29">
                  <c:v>9846.2327012511669</c:v>
                </c:pt>
                <c:pt idx="30">
                  <c:v>9920.07944651055</c:v>
                </c:pt>
                <c:pt idx="31">
                  <c:v>9994.4800423593806</c:v>
                </c:pt>
                <c:pt idx="32">
                  <c:v>10069.438642677076</c:v>
                </c:pt>
                <c:pt idx="33">
                  <c:v>10144.959432497151</c:v>
                </c:pt>
                <c:pt idx="34">
                  <c:v>10221.046628240878</c:v>
                </c:pt>
                <c:pt idx="35">
                  <c:v>10297.704477952688</c:v>
                </c:pt>
                <c:pt idx="36">
                  <c:v>10374.937261537336</c:v>
                </c:pt>
                <c:pt idx="37">
                  <c:v>10452.749290998861</c:v>
                </c:pt>
                <c:pt idx="38">
                  <c:v>10531.144910681356</c:v>
                </c:pt>
                <c:pt idx="39">
                  <c:v>10610.128497511461</c:v>
                </c:pt>
                <c:pt idx="40">
                  <c:v>10689.7044612428</c:v>
                </c:pt>
                <c:pt idx="41">
                  <c:v>10769.877244702122</c:v>
                </c:pt>
                <c:pt idx="42">
                  <c:v>10850.651324037386</c:v>
                </c:pt>
                <c:pt idx="43">
                  <c:v>10932.031208967666</c:v>
                </c:pt>
                <c:pt idx="44">
                  <c:v>11014.02144303493</c:v>
                </c:pt>
                <c:pt idx="45">
                  <c:v>11096.626603857687</c:v>
                </c:pt>
                <c:pt idx="46">
                  <c:v>11179.851303386618</c:v>
                </c:pt>
                <c:pt idx="47">
                  <c:v>11263.700188162024</c:v>
                </c:pt>
                <c:pt idx="48">
                  <c:v>11348.177939573234</c:v>
                </c:pt>
                <c:pt idx="49">
                  <c:v>11433.289274120034</c:v>
                </c:pt>
                <c:pt idx="50">
                  <c:v>11519.038943675936</c:v>
                </c:pt>
                <c:pt idx="51">
                  <c:v>11605.431735753504</c:v>
                </c:pt>
                <c:pt idx="52">
                  <c:v>11692.472473771657</c:v>
                </c:pt>
                <c:pt idx="53">
                  <c:v>11780.166017324944</c:v>
                </c:pt>
                <c:pt idx="54">
                  <c:v>11868.51726245488</c:v>
                </c:pt>
                <c:pt idx="55">
                  <c:v>11957.531141923293</c:v>
                </c:pt>
                <c:pt idx="56">
                  <c:v>12047.212625487718</c:v>
                </c:pt>
                <c:pt idx="57">
                  <c:v>12137.566720178871</c:v>
                </c:pt>
                <c:pt idx="58">
                  <c:v>12228.598470580218</c:v>
                </c:pt>
                <c:pt idx="59">
                  <c:v>12320.312959109568</c:v>
                </c:pt>
                <c:pt idx="60">
                  <c:v>12412.715306302885</c:v>
                </c:pt>
                <c:pt idx="61">
                  <c:v>12505.81067110016</c:v>
                </c:pt>
                <c:pt idx="62">
                  <c:v>12599.604251133413</c:v>
                </c:pt>
                <c:pt idx="63">
                  <c:v>12694.101283016913</c:v>
                </c:pt>
                <c:pt idx="64">
                  <c:v>12789.307042639542</c:v>
                </c:pt>
                <c:pt idx="65">
                  <c:v>12885.226845459336</c:v>
                </c:pt>
                <c:pt idx="66">
                  <c:v>12981.866046800278</c:v>
                </c:pt>
                <c:pt idx="67">
                  <c:v>13079.230042151281</c:v>
                </c:pt>
                <c:pt idx="68">
                  <c:v>13177.324267467415</c:v>
                </c:pt>
                <c:pt idx="69">
                  <c:v>13276.154199473422</c:v>
                </c:pt>
                <c:pt idx="70">
                  <c:v>13375.725355969473</c:v>
                </c:pt>
                <c:pt idx="71">
                  <c:v>13476.043296139243</c:v>
                </c:pt>
                <c:pt idx="72">
                  <c:v>13577.113620860287</c:v>
                </c:pt>
                <c:pt idx="73">
                  <c:v>13678.941973016743</c:v>
                </c:pt>
                <c:pt idx="74">
                  <c:v>13781.534037814366</c:v>
                </c:pt>
                <c:pt idx="75">
                  <c:v>13884.895543097977</c:v>
                </c:pt>
                <c:pt idx="76">
                  <c:v>13989.03225967121</c:v>
                </c:pt>
                <c:pt idx="77">
                  <c:v>14093.950001618745</c:v>
                </c:pt>
                <c:pt idx="78">
                  <c:v>14199.654626630883</c:v>
                </c:pt>
                <c:pt idx="79">
                  <c:v>14306.152036330617</c:v>
                </c:pt>
                <c:pt idx="80">
                  <c:v>14413.448176603097</c:v>
                </c:pt>
                <c:pt idx="81">
                  <c:v>14521.549037927618</c:v>
                </c:pt>
                <c:pt idx="82">
                  <c:v>14630.460655712077</c:v>
                </c:pt>
                <c:pt idx="83">
                  <c:v>14740.189110629915</c:v>
                </c:pt>
                <c:pt idx="84">
                  <c:v>14850.740528959641</c:v>
                </c:pt>
                <c:pt idx="85">
                  <c:v>14962.121082926838</c:v>
                </c:pt>
                <c:pt idx="86">
                  <c:v>15074.336991048789</c:v>
                </c:pt>
                <c:pt idx="87">
                  <c:v>15187.394518481655</c:v>
                </c:pt>
                <c:pt idx="88">
                  <c:v>15301.299977370269</c:v>
                </c:pt>
                <c:pt idx="89">
                  <c:v>15416.059727200542</c:v>
                </c:pt>
                <c:pt idx="90">
                  <c:v>15531.680175154548</c:v>
                </c:pt>
                <c:pt idx="91">
                  <c:v>15648.167776468206</c:v>
                </c:pt>
                <c:pt idx="92">
                  <c:v>15765.52903479172</c:v>
                </c:pt>
                <c:pt idx="93">
                  <c:v>15883.770502552657</c:v>
                </c:pt>
                <c:pt idx="94">
                  <c:v>16002.898781321805</c:v>
                </c:pt>
                <c:pt idx="95">
                  <c:v>16122.920522181716</c:v>
                </c:pt>
                <c:pt idx="96">
                  <c:v>16243.842426098077</c:v>
                </c:pt>
                <c:pt idx="97">
                  <c:v>16365.671244293815</c:v>
                </c:pt>
                <c:pt idx="98">
                  <c:v>16488.413778626018</c:v>
                </c:pt>
                <c:pt idx="99">
                  <c:v>16612.076881965713</c:v>
                </c:pt>
                <c:pt idx="100">
                  <c:v>16736.667458580458</c:v>
                </c:pt>
                <c:pt idx="101">
                  <c:v>16862.192464519809</c:v>
                </c:pt>
                <c:pt idx="102">
                  <c:v>16988.658908003708</c:v>
                </c:pt>
                <c:pt idx="103">
                  <c:v>17116.073849813736</c:v>
                </c:pt>
                <c:pt idx="104">
                  <c:v>17244.444403687339</c:v>
                </c:pt>
                <c:pt idx="105">
                  <c:v>17373.777736714994</c:v>
                </c:pt>
                <c:pt idx="106">
                  <c:v>17504.081069740358</c:v>
                </c:pt>
                <c:pt idx="107">
                  <c:v>17635.361677763409</c:v>
                </c:pt>
                <c:pt idx="108">
                  <c:v>17767.626890346637</c:v>
                </c:pt>
                <c:pt idx="109">
                  <c:v>17900.884092024236</c:v>
                </c:pt>
                <c:pt idx="110">
                  <c:v>18035.140722714415</c:v>
                </c:pt>
                <c:pt idx="111">
                  <c:v>18170.404278134774</c:v>
                </c:pt>
                <c:pt idx="112">
                  <c:v>18306.682310220785</c:v>
                </c:pt>
                <c:pt idx="113">
                  <c:v>18443.982427547438</c:v>
                </c:pt>
                <c:pt idx="114">
                  <c:v>18582.312295754047</c:v>
                </c:pt>
                <c:pt idx="115">
                  <c:v>18721.679637972204</c:v>
                </c:pt>
                <c:pt idx="116">
                  <c:v>18862.092235256994</c:v>
                </c:pt>
                <c:pt idx="117">
                  <c:v>19003.557927021422</c:v>
                </c:pt>
                <c:pt idx="118">
                  <c:v>19146.084611474082</c:v>
                </c:pt>
                <c:pt idx="119">
                  <c:v>19289.680246060139</c:v>
                </c:pt>
                <c:pt idx="120">
                  <c:v>19434.352847905589</c:v>
                </c:pt>
                <c:pt idx="121">
                  <c:v>19580.110494264882</c:v>
                </c:pt>
                <c:pt idx="122">
                  <c:v>19726.961322971867</c:v>
                </c:pt>
                <c:pt idx="123">
                  <c:v>19874.913532894156</c:v>
                </c:pt>
                <c:pt idx="124">
                  <c:v>20023.975384390862</c:v>
                </c:pt>
                <c:pt idx="125">
                  <c:v>20174.155199773792</c:v>
                </c:pt>
                <c:pt idx="126">
                  <c:v>20325.461363772098</c:v>
                </c:pt>
                <c:pt idx="127">
                  <c:v>20477.902324000388</c:v>
                </c:pt>
                <c:pt idx="128">
                  <c:v>20631.486591430388</c:v>
                </c:pt>
                <c:pt idx="129">
                  <c:v>20786.22274086612</c:v>
                </c:pt>
                <c:pt idx="130">
                  <c:v>20942.119411422616</c:v>
                </c:pt>
                <c:pt idx="131">
                  <c:v>21099.185307008283</c:v>
                </c:pt>
                <c:pt idx="132">
                  <c:v>21257.429196810848</c:v>
                </c:pt>
                <c:pt idx="133">
                  <c:v>21416.859915786925</c:v>
                </c:pt>
                <c:pt idx="134">
                  <c:v>21577.486365155331</c:v>
                </c:pt>
                <c:pt idx="135">
                  <c:v>21739.317512893995</c:v>
                </c:pt>
                <c:pt idx="136">
                  <c:v>21902.362394240699</c:v>
                </c:pt>
                <c:pt idx="137">
                  <c:v>22066.630112197505</c:v>
                </c:pt>
                <c:pt idx="138">
                  <c:v>22232.129838038985</c:v>
                </c:pt>
                <c:pt idx="139">
                  <c:v>22398.870811824279</c:v>
                </c:pt>
                <c:pt idx="140">
                  <c:v>22566.862342912962</c:v>
                </c:pt>
                <c:pt idx="141">
                  <c:v>22736.113810484807</c:v>
                </c:pt>
                <c:pt idx="142">
                  <c:v>22906.634664063444</c:v>
                </c:pt>
                <c:pt idx="143">
                  <c:v>23078.43442404392</c:v>
                </c:pt>
                <c:pt idx="144">
                  <c:v>23251.522682224248</c:v>
                </c:pt>
                <c:pt idx="145">
                  <c:v>23425.909102340931</c:v>
                </c:pt>
                <c:pt idx="146">
                  <c:v>23601.603420608488</c:v>
                </c:pt>
                <c:pt idx="147">
                  <c:v>23778.615446263051</c:v>
                </c:pt>
                <c:pt idx="148">
                  <c:v>23956.955062110024</c:v>
                </c:pt>
                <c:pt idx="149">
                  <c:v>24136.632225075849</c:v>
                </c:pt>
                <c:pt idx="150">
                  <c:v>24317.65696676392</c:v>
                </c:pt>
                <c:pt idx="151">
                  <c:v>24500.03939401465</c:v>
                </c:pt>
                <c:pt idx="152">
                  <c:v>24683.789689469759</c:v>
                </c:pt>
                <c:pt idx="153">
                  <c:v>24868.918112140782</c:v>
                </c:pt>
                <c:pt idx="154">
                  <c:v>25055.434997981836</c:v>
                </c:pt>
                <c:pt idx="155">
                  <c:v>25243.350760466703</c:v>
                </c:pt>
                <c:pt idx="156">
                  <c:v>25432.675891170202</c:v>
                </c:pt>
                <c:pt idx="157">
                  <c:v>25623.420960353978</c:v>
                </c:pt>
                <c:pt idx="158">
                  <c:v>25815.596617556635</c:v>
                </c:pt>
                <c:pt idx="159">
                  <c:v>26009.213592188309</c:v>
                </c:pt>
                <c:pt idx="160">
                  <c:v>26204.282694129721</c:v>
                </c:pt>
                <c:pt idx="161">
                  <c:v>26400.814814335692</c:v>
                </c:pt>
                <c:pt idx="162">
                  <c:v>26598.820925443211</c:v>
                </c:pt>
                <c:pt idx="163">
                  <c:v>26798.312082384036</c:v>
                </c:pt>
                <c:pt idx="164">
                  <c:v>26999.299423001914</c:v>
                </c:pt>
                <c:pt idx="165">
                  <c:v>27201.794168674431</c:v>
                </c:pt>
                <c:pt idx="166">
                  <c:v>27405.807624939487</c:v>
                </c:pt>
                <c:pt idx="167">
                  <c:v>27611.351182126535</c:v>
                </c:pt>
                <c:pt idx="168">
                  <c:v>27818.436315992483</c:v>
                </c:pt>
                <c:pt idx="169">
                  <c:v>28027.074588362426</c:v>
                </c:pt>
                <c:pt idx="170">
                  <c:v>28237.277647775143</c:v>
                </c:pt>
                <c:pt idx="171">
                  <c:v>28449.057230133458</c:v>
                </c:pt>
                <c:pt idx="172">
                  <c:v>28662.42515935946</c:v>
                </c:pt>
                <c:pt idx="173">
                  <c:v>28877.393348054655</c:v>
                </c:pt>
                <c:pt idx="174">
                  <c:v>29093.973798165065</c:v>
                </c:pt>
                <c:pt idx="175">
                  <c:v>29312.178601651303</c:v>
                </c:pt>
                <c:pt idx="176">
                  <c:v>29532.019941163686</c:v>
                </c:pt>
                <c:pt idx="177">
                  <c:v>29753.510090722415</c:v>
                </c:pt>
                <c:pt idx="178">
                  <c:v>29976.661416402832</c:v>
                </c:pt>
                <c:pt idx="179">
                  <c:v>30201.486377025856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E-4E64-A5D5-94EF235D5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894976"/>
        <c:axId val="626895456"/>
      </c:lineChart>
      <c:catAx>
        <c:axId val="62689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95456"/>
        <c:crosses val="autoZero"/>
        <c:auto val="1"/>
        <c:lblAlgn val="ctr"/>
        <c:lblOffset val="100"/>
        <c:noMultiLvlLbl val="0"/>
      </c:catAx>
      <c:valAx>
        <c:axId val="6268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10</xdr:row>
      <xdr:rowOff>76200</xdr:rowOff>
    </xdr:from>
    <xdr:to>
      <xdr:col>12</xdr:col>
      <xdr:colOff>600075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516B5-28B0-AFF5-9D10-5DC9EE4AA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142875</xdr:colOff>
      <xdr:row>154</xdr:row>
      <xdr:rowOff>42862</xdr:rowOff>
    </xdr:from>
    <xdr:to>
      <xdr:col>9</xdr:col>
      <xdr:colOff>647700</xdr:colOff>
      <xdr:row>168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62B916-720D-4953-D129-25C1CC60C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D33" sqref="D33"/>
    </sheetView>
  </sheetViews>
  <sheetFormatPr defaultRowHeight="15" x14ac:dyDescent="0.25"/>
  <cols>
    <col min="1" max="1" width="28" customWidth="1"/>
    <col min="2" max="2" width="12" customWidth="1"/>
    <col min="3" max="3" width="14" customWidth="1"/>
    <col min="4" max="6" width="16" customWidth="1"/>
    <col min="7" max="7" width="14" customWidth="1"/>
  </cols>
  <sheetData>
    <row r="1" spans="1:7" ht="27.95" customHeight="1" x14ac:dyDescent="0.25">
      <c r="A1" s="34" t="s">
        <v>0</v>
      </c>
      <c r="B1" s="35"/>
      <c r="C1" s="35"/>
      <c r="D1" s="35"/>
      <c r="E1" s="35"/>
      <c r="F1" s="35"/>
      <c r="G1" s="35"/>
    </row>
    <row r="3" spans="1:7" x14ac:dyDescent="0.25">
      <c r="A3" s="36" t="s">
        <v>1</v>
      </c>
      <c r="B3" s="32"/>
      <c r="C3" s="32"/>
      <c r="D3" s="33"/>
    </row>
    <row r="4" spans="1:7" x14ac:dyDescent="0.25">
      <c r="A4" s="1" t="s">
        <v>2</v>
      </c>
      <c r="B4" s="2">
        <v>3000000</v>
      </c>
    </row>
    <row r="5" spans="1:7" x14ac:dyDescent="0.25">
      <c r="A5" s="1" t="s">
        <v>3</v>
      </c>
      <c r="B5" s="3">
        <v>0.09</v>
      </c>
    </row>
    <row r="6" spans="1:7" x14ac:dyDescent="0.25">
      <c r="A6" s="1" t="s">
        <v>4</v>
      </c>
      <c r="B6" s="4">
        <v>15</v>
      </c>
    </row>
    <row r="8" spans="1:7" x14ac:dyDescent="0.25">
      <c r="A8" s="31" t="s">
        <v>5</v>
      </c>
      <c r="B8" s="32"/>
      <c r="C8" s="32"/>
      <c r="D8" s="33"/>
    </row>
    <row r="9" spans="1:7" x14ac:dyDescent="0.25">
      <c r="A9" s="5" t="s">
        <v>6</v>
      </c>
      <c r="B9" s="6">
        <f>B5/12</f>
        <v>7.4999999999999997E-3</v>
      </c>
    </row>
    <row r="10" spans="1:7" x14ac:dyDescent="0.25">
      <c r="A10" s="5" t="s">
        <v>7</v>
      </c>
      <c r="B10" s="7">
        <f>B6*12</f>
        <v>180</v>
      </c>
    </row>
    <row r="12" spans="1:7" x14ac:dyDescent="0.25">
      <c r="A12" s="37" t="s">
        <v>8</v>
      </c>
      <c r="B12" s="32"/>
      <c r="C12" s="32"/>
      <c r="D12" s="32"/>
      <c r="E12" s="32"/>
      <c r="F12" s="32"/>
      <c r="G12" s="33"/>
    </row>
    <row r="13" spans="1:7" x14ac:dyDescent="0.25">
      <c r="A13" s="5" t="s">
        <v>9</v>
      </c>
      <c r="B13" s="2">
        <f>PMT(B5/12,B10,-B4)</f>
        <v>30427.997524853548</v>
      </c>
      <c r="D13" s="8" t="s">
        <v>10</v>
      </c>
    </row>
    <row r="14" spans="1:7" x14ac:dyDescent="0.25">
      <c r="A14" s="5" t="s">
        <v>11</v>
      </c>
      <c r="B14" s="2">
        <f>IPMT(B5/12,1,B10,-B4)</f>
        <v>22500</v>
      </c>
      <c r="D14" s="8" t="s">
        <v>12</v>
      </c>
    </row>
    <row r="15" spans="1:7" x14ac:dyDescent="0.25">
      <c r="A15" s="5" t="s">
        <v>13</v>
      </c>
      <c r="B15" s="2">
        <f>PPMT(B5/12,1,B10,-B4)</f>
        <v>7927.9975248535484</v>
      </c>
      <c r="D15" s="8" t="s">
        <v>14</v>
      </c>
    </row>
    <row r="16" spans="1:7" x14ac:dyDescent="0.25">
      <c r="A16" s="5" t="s">
        <v>15</v>
      </c>
      <c r="B16" s="2">
        <f>B14+B15</f>
        <v>30427.997524853548</v>
      </c>
      <c r="D16" s="8" t="s">
        <v>16</v>
      </c>
    </row>
    <row r="17" spans="1:7" x14ac:dyDescent="0.25">
      <c r="A17" s="5" t="s">
        <v>17</v>
      </c>
      <c r="B17" s="2">
        <f>IPMT(B5/12,60,B10,-B4)</f>
        <v>18107.684565743981</v>
      </c>
      <c r="D17" s="8" t="s">
        <v>18</v>
      </c>
    </row>
    <row r="18" spans="1:7" x14ac:dyDescent="0.25">
      <c r="A18" s="5" t="s">
        <v>19</v>
      </c>
      <c r="B18" s="2">
        <f>PV(B5/12,B10,-30000)</f>
        <v>2957802.265051737</v>
      </c>
      <c r="D18" s="8" t="s">
        <v>20</v>
      </c>
    </row>
    <row r="19" spans="1:7" x14ac:dyDescent="0.25">
      <c r="A19" s="5" t="s">
        <v>21</v>
      </c>
      <c r="B19" s="4">
        <f>NPER(B5/12,-35000,B4)</f>
        <v>137.79675755571014</v>
      </c>
      <c r="D19" s="8" t="s">
        <v>22</v>
      </c>
    </row>
    <row r="20" spans="1:7" x14ac:dyDescent="0.25">
      <c r="A20" s="5" t="s">
        <v>23</v>
      </c>
      <c r="B20" s="2">
        <f>B13*B10</f>
        <v>5477039.5544736385</v>
      </c>
      <c r="D20" s="8" t="s">
        <v>24</v>
      </c>
    </row>
    <row r="21" spans="1:7" x14ac:dyDescent="0.25">
      <c r="A21" s="5" t="s">
        <v>25</v>
      </c>
      <c r="B21" s="2">
        <f>B20-B4</f>
        <v>2477039.5544736385</v>
      </c>
      <c r="D21" s="8" t="s">
        <v>26</v>
      </c>
    </row>
    <row r="23" spans="1:7" x14ac:dyDescent="0.25">
      <c r="A23" s="36" t="s">
        <v>27</v>
      </c>
      <c r="B23" s="32"/>
      <c r="C23" s="32"/>
      <c r="D23" s="32"/>
      <c r="E23" s="32"/>
      <c r="F23" s="32"/>
      <c r="G23" s="33"/>
    </row>
    <row r="24" spans="1:7" x14ac:dyDescent="0.25">
      <c r="A24" s="9" t="s">
        <v>28</v>
      </c>
      <c r="B24" s="9" t="s">
        <v>29</v>
      </c>
      <c r="C24" s="9" t="s">
        <v>30</v>
      </c>
      <c r="D24" s="9" t="s">
        <v>23</v>
      </c>
      <c r="E24" s="9" t="s">
        <v>25</v>
      </c>
      <c r="F24" s="9" t="s">
        <v>31</v>
      </c>
      <c r="G24" s="9" t="s">
        <v>32</v>
      </c>
    </row>
    <row r="25" spans="1:7" x14ac:dyDescent="0.25">
      <c r="A25" s="10" t="s">
        <v>33</v>
      </c>
      <c r="B25" s="11">
        <v>0.09</v>
      </c>
      <c r="C25" s="2">
        <f>PMT(B25/12,$B$10,-$B$4)</f>
        <v>30427.997524853548</v>
      </c>
      <c r="D25" s="2">
        <f>C25*$B$10</f>
        <v>5477039.5544736385</v>
      </c>
      <c r="E25" s="2">
        <f>D25-$B$4</f>
        <v>2477039.5544736385</v>
      </c>
      <c r="F25" s="2">
        <f>E25-$E$25</f>
        <v>0</v>
      </c>
      <c r="G25" s="12" t="s">
        <v>34</v>
      </c>
    </row>
    <row r="26" spans="1:7" x14ac:dyDescent="0.25">
      <c r="A26" s="13" t="s">
        <v>35</v>
      </c>
      <c r="B26" s="14">
        <v>9.5000000000000001E-2</v>
      </c>
      <c r="C26" s="2">
        <f t="shared" ref="C26:C28" si="0">PMT(B26/12,$B$10,-$B$4)</f>
        <v>31326.740485913593</v>
      </c>
      <c r="D26" s="2">
        <f t="shared" ref="D26:D28" si="1">C26*$B$10</f>
        <v>5638813.2874644464</v>
      </c>
      <c r="E26" s="2">
        <f t="shared" ref="E26:E28" si="2">D26-$B$4</f>
        <v>2638813.2874644464</v>
      </c>
      <c r="F26" s="2">
        <f t="shared" ref="F26:F28" si="3">E26-$E$25</f>
        <v>161773.73299080785</v>
      </c>
      <c r="G26" s="15" t="s">
        <v>36</v>
      </c>
    </row>
    <row r="27" spans="1:7" x14ac:dyDescent="0.25">
      <c r="A27" s="13" t="s">
        <v>37</v>
      </c>
      <c r="B27" s="14">
        <v>0.1</v>
      </c>
      <c r="C27" s="2">
        <f t="shared" si="0"/>
        <v>32238.153531243486</v>
      </c>
      <c r="D27" s="2">
        <f t="shared" si="1"/>
        <v>5802867.6356238276</v>
      </c>
      <c r="E27" s="2">
        <f t="shared" si="2"/>
        <v>2802867.6356238276</v>
      </c>
      <c r="F27" s="2">
        <f t="shared" si="3"/>
        <v>325828.08115018904</v>
      </c>
      <c r="G27" s="15" t="s">
        <v>38</v>
      </c>
    </row>
    <row r="28" spans="1:7" x14ac:dyDescent="0.25">
      <c r="A28" s="16" t="s">
        <v>39</v>
      </c>
      <c r="B28" s="17">
        <v>8.5000000000000006E-2</v>
      </c>
      <c r="C28" s="2">
        <f t="shared" si="0"/>
        <v>29542.186737767799</v>
      </c>
      <c r="D28" s="2">
        <f t="shared" si="1"/>
        <v>5317593.6127982037</v>
      </c>
      <c r="E28" s="2">
        <f t="shared" si="2"/>
        <v>2317593.6127982037</v>
      </c>
      <c r="F28" s="2">
        <f t="shared" si="3"/>
        <v>-159445.94167543482</v>
      </c>
      <c r="G28" s="18" t="s">
        <v>40</v>
      </c>
    </row>
  </sheetData>
  <mergeCells count="5">
    <mergeCell ref="A8:D8"/>
    <mergeCell ref="A1:G1"/>
    <mergeCell ref="A3:D3"/>
    <mergeCell ref="A12:G12"/>
    <mergeCell ref="A23:G23"/>
  </mergeCells>
  <conditionalFormatting sqref="F24:F28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1"/>
  <sheetViews>
    <sheetView topLeftCell="A147" workbookViewId="0">
      <selection activeCell="E3" activeCellId="2" sqref="A3:A183 D3:D183 E3:E183"/>
    </sheetView>
  </sheetViews>
  <sheetFormatPr defaultRowHeight="15" x14ac:dyDescent="0.25"/>
  <cols>
    <col min="1" max="1" width="8" customWidth="1"/>
    <col min="2" max="2" width="18" customWidth="1"/>
    <col min="3" max="3" width="14" customWidth="1"/>
    <col min="4" max="6" width="18" customWidth="1"/>
    <col min="7" max="7" width="3" customWidth="1"/>
    <col min="8" max="8" width="8" customWidth="1"/>
    <col min="9" max="9" width="14" customWidth="1"/>
    <col min="10" max="10" width="12" customWidth="1"/>
    <col min="11" max="13" width="14" customWidth="1"/>
  </cols>
  <sheetData>
    <row r="1" spans="1:13" ht="27.95" customHeight="1" x14ac:dyDescent="0.25">
      <c r="A1" s="34" t="s">
        <v>41</v>
      </c>
      <c r="B1" s="35"/>
      <c r="C1" s="35"/>
      <c r="D1" s="35"/>
      <c r="E1" s="35"/>
      <c r="F1" s="35"/>
    </row>
    <row r="2" spans="1:13" x14ac:dyDescent="0.25">
      <c r="A2" s="38" t="s">
        <v>42</v>
      </c>
      <c r="B2" s="35"/>
      <c r="C2" s="35"/>
      <c r="D2" s="35"/>
      <c r="E2" s="35"/>
      <c r="F2" s="35"/>
    </row>
    <row r="3" spans="1:13" x14ac:dyDescent="0.25">
      <c r="A3" s="9" t="s">
        <v>43</v>
      </c>
      <c r="B3" s="9" t="s">
        <v>44</v>
      </c>
      <c r="C3" s="9" t="s">
        <v>30</v>
      </c>
      <c r="D3" s="9" t="s">
        <v>45</v>
      </c>
      <c r="E3" s="9" t="s">
        <v>46</v>
      </c>
      <c r="F3" s="9" t="s">
        <v>47</v>
      </c>
      <c r="H3" s="39" t="s">
        <v>48</v>
      </c>
      <c r="I3" s="32"/>
      <c r="J3" s="32"/>
      <c r="K3" s="32"/>
      <c r="L3" s="32"/>
      <c r="M3" s="33"/>
    </row>
    <row r="4" spans="1:13" x14ac:dyDescent="0.25">
      <c r="A4" s="4">
        <v>1</v>
      </c>
      <c r="B4" s="2">
        <v>3000000</v>
      </c>
      <c r="C4" s="2">
        <f>PMT('Home Loan'!$B$9,'Home Loan'!$B$10,-'Home Loan'!$B$4)</f>
        <v>30427.997524853548</v>
      </c>
      <c r="D4" s="2">
        <f>IPMT('Home Loan'!$B$9,A4,'Home Loan'!$B$10,-'Home Loan'!$B$4)</f>
        <v>22500</v>
      </c>
      <c r="E4" s="2">
        <f>C4-D4</f>
        <v>7927.9975248535484</v>
      </c>
      <c r="F4" s="2">
        <f>B4-E4</f>
        <v>2992072.0024751467</v>
      </c>
      <c r="H4" s="19" t="s">
        <v>43</v>
      </c>
      <c r="I4" s="19" t="s">
        <v>49</v>
      </c>
      <c r="J4" s="19" t="s">
        <v>30</v>
      </c>
      <c r="K4" s="19" t="s">
        <v>50</v>
      </c>
      <c r="L4" s="19" t="s">
        <v>51</v>
      </c>
      <c r="M4" s="19" t="s">
        <v>52</v>
      </c>
    </row>
    <row r="5" spans="1:13" ht="21.95" customHeight="1" x14ac:dyDescent="0.25">
      <c r="A5" s="42">
        <f>A4+1</f>
        <v>2</v>
      </c>
      <c r="B5" s="2">
        <f>F4</f>
        <v>2992072.0024751467</v>
      </c>
      <c r="C5" s="2">
        <f>PMT('Home Loan'!$B$9,'Home Loan'!$B$10,-'Home Loan'!$B$4)</f>
        <v>30427.997524853548</v>
      </c>
      <c r="D5" s="2">
        <f>IPMT('Home Loan'!$B$9,A5,'Home Loan'!$B$10,-'Home Loan'!$B$4)</f>
        <v>22440.540018563599</v>
      </c>
      <c r="E5" s="2">
        <f>C5-D5</f>
        <v>7987.4575062899494</v>
      </c>
      <c r="F5" s="2">
        <f t="shared" ref="F5:F68" si="0">B5-E5</f>
        <v>2984084.5449688565</v>
      </c>
      <c r="H5" s="20" t="s">
        <v>53</v>
      </c>
      <c r="I5" s="21" t="s">
        <v>54</v>
      </c>
      <c r="J5" s="21" t="s">
        <v>55</v>
      </c>
      <c r="K5" s="21" t="s">
        <v>56</v>
      </c>
      <c r="L5" s="21" t="s">
        <v>57</v>
      </c>
      <c r="M5" s="21" t="s">
        <v>58</v>
      </c>
    </row>
    <row r="6" spans="1:13" x14ac:dyDescent="0.25">
      <c r="A6" s="42">
        <f t="shared" ref="A6:A69" si="1">A5+1</f>
        <v>3</v>
      </c>
      <c r="B6" s="2">
        <f t="shared" ref="B6:B69" si="2">F5</f>
        <v>2984084.5449688565</v>
      </c>
      <c r="C6" s="2">
        <f>PMT('Home Loan'!$B$9,'Home Loan'!$B$10,-'Home Loan'!$B$4)</f>
        <v>30427.997524853548</v>
      </c>
      <c r="D6" s="2">
        <f>IPMT('Home Loan'!$B$9,A6,'Home Loan'!$B$10,-'Home Loan'!$B$4)</f>
        <v>22380.634087266426</v>
      </c>
      <c r="E6" s="2">
        <f t="shared" ref="E6:E69" si="3">C6-D6</f>
        <v>8047.3634375871225</v>
      </c>
      <c r="F6" s="2">
        <f t="shared" si="0"/>
        <v>2976037.1815312696</v>
      </c>
      <c r="H6" s="20" t="s">
        <v>59</v>
      </c>
      <c r="I6" s="21" t="s">
        <v>60</v>
      </c>
      <c r="J6" s="21" t="s">
        <v>55</v>
      </c>
      <c r="K6" s="21" t="s">
        <v>61</v>
      </c>
      <c r="L6" s="21" t="s">
        <v>62</v>
      </c>
      <c r="M6" s="21" t="s">
        <v>63</v>
      </c>
    </row>
    <row r="7" spans="1:13" x14ac:dyDescent="0.25">
      <c r="A7" s="42">
        <f t="shared" si="1"/>
        <v>4</v>
      </c>
      <c r="B7" s="2">
        <f t="shared" si="2"/>
        <v>2976037.1815312696</v>
      </c>
      <c r="C7" s="2">
        <f>PMT('Home Loan'!$B$9,'Home Loan'!$B$10,-'Home Loan'!$B$4)</f>
        <v>30427.997524853548</v>
      </c>
      <c r="D7" s="2">
        <f>IPMT('Home Loan'!$B$9,A7,'Home Loan'!$B$10,-'Home Loan'!$B$4)</f>
        <v>22320.278861484519</v>
      </c>
      <c r="E7" s="2">
        <f t="shared" si="3"/>
        <v>8107.7186633690289</v>
      </c>
      <c r="F7" s="2">
        <f t="shared" si="0"/>
        <v>2967929.4628679007</v>
      </c>
      <c r="H7" s="20" t="s">
        <v>64</v>
      </c>
      <c r="I7" s="21" t="s">
        <v>65</v>
      </c>
      <c r="J7" s="21" t="s">
        <v>55</v>
      </c>
      <c r="K7" s="21" t="s">
        <v>66</v>
      </c>
      <c r="L7" s="21" t="s">
        <v>67</v>
      </c>
      <c r="M7" s="21" t="s">
        <v>68</v>
      </c>
    </row>
    <row r="8" spans="1:13" x14ac:dyDescent="0.25">
      <c r="A8" s="42">
        <f t="shared" si="1"/>
        <v>5</v>
      </c>
      <c r="B8" s="2">
        <f t="shared" si="2"/>
        <v>2967929.4628679007</v>
      </c>
      <c r="C8" s="2">
        <f>PMT('Home Loan'!$B$9,'Home Loan'!$B$10,-'Home Loan'!$B$4)</f>
        <v>30427.997524853548</v>
      </c>
      <c r="D8" s="2">
        <f>IPMT('Home Loan'!$B$9,A8,'Home Loan'!$B$10,-'Home Loan'!$B$4)</f>
        <v>22259.470971509254</v>
      </c>
      <c r="E8" s="2">
        <f t="shared" si="3"/>
        <v>8168.5265533442944</v>
      </c>
      <c r="F8" s="2">
        <f t="shared" si="0"/>
        <v>2959760.9363145563</v>
      </c>
      <c r="H8" s="22" t="s">
        <v>69</v>
      </c>
      <c r="I8" s="23" t="s">
        <v>70</v>
      </c>
      <c r="J8" s="23" t="s">
        <v>55</v>
      </c>
      <c r="K8" s="23" t="s">
        <v>71</v>
      </c>
      <c r="L8" s="23" t="s">
        <v>72</v>
      </c>
      <c r="M8" s="23" t="s">
        <v>73</v>
      </c>
    </row>
    <row r="9" spans="1:13" x14ac:dyDescent="0.25">
      <c r="A9" s="42">
        <f t="shared" si="1"/>
        <v>6</v>
      </c>
      <c r="B9" s="2">
        <f t="shared" si="2"/>
        <v>2959760.9363145563</v>
      </c>
      <c r="C9" s="2">
        <f>PMT('Home Loan'!$B$9,'Home Loan'!$B$10,-'Home Loan'!$B$4)</f>
        <v>30427.997524853548</v>
      </c>
      <c r="D9" s="2">
        <f>IPMT('Home Loan'!$B$9,A9,'Home Loan'!$B$10,-'Home Loan'!$B$4)</f>
        <v>22198.207022359173</v>
      </c>
      <c r="E9" s="2">
        <f t="shared" si="3"/>
        <v>8229.7905024943757</v>
      </c>
      <c r="F9" s="2">
        <f t="shared" si="0"/>
        <v>2951531.1458120621</v>
      </c>
    </row>
    <row r="10" spans="1:13" x14ac:dyDescent="0.25">
      <c r="A10" s="42">
        <f t="shared" si="1"/>
        <v>7</v>
      </c>
      <c r="B10" s="2">
        <f t="shared" si="2"/>
        <v>2951531.1458120621</v>
      </c>
      <c r="C10" s="2">
        <f>PMT('Home Loan'!$B$9,'Home Loan'!$B$10,-'Home Loan'!$B$4)</f>
        <v>30427.997524853548</v>
      </c>
      <c r="D10" s="2">
        <f>IPMT('Home Loan'!$B$9,A10,'Home Loan'!$B$10,-'Home Loan'!$B$4)</f>
        <v>22136.483593590463</v>
      </c>
      <c r="E10" s="2">
        <f t="shared" si="3"/>
        <v>8291.5139312630854</v>
      </c>
      <c r="F10" s="2">
        <f t="shared" si="0"/>
        <v>2943239.6318807988</v>
      </c>
    </row>
    <row r="11" spans="1:13" x14ac:dyDescent="0.25">
      <c r="A11" s="42">
        <f t="shared" si="1"/>
        <v>8</v>
      </c>
      <c r="B11" s="2">
        <f t="shared" si="2"/>
        <v>2943239.6318807988</v>
      </c>
      <c r="C11" s="2">
        <f>PMT('Home Loan'!$B$9,'Home Loan'!$B$10,-'Home Loan'!$B$4)</f>
        <v>30427.997524853548</v>
      </c>
      <c r="D11" s="2">
        <f>IPMT('Home Loan'!$B$9,A11,'Home Loan'!$B$10,-'Home Loan'!$B$4)</f>
        <v>22074.297239105988</v>
      </c>
      <c r="E11" s="2">
        <f t="shared" si="3"/>
        <v>8353.70028574756</v>
      </c>
      <c r="F11" s="2">
        <f t="shared" si="0"/>
        <v>2934885.9315950512</v>
      </c>
    </row>
    <row r="12" spans="1:13" x14ac:dyDescent="0.25">
      <c r="A12" s="42">
        <f t="shared" si="1"/>
        <v>9</v>
      </c>
      <c r="B12" s="2">
        <f t="shared" si="2"/>
        <v>2934885.9315950512</v>
      </c>
      <c r="C12" s="2">
        <f>PMT('Home Loan'!$B$9,'Home Loan'!$B$10,-'Home Loan'!$B$4)</f>
        <v>30427.997524853548</v>
      </c>
      <c r="D12" s="2">
        <f>IPMT('Home Loan'!$B$9,A12,'Home Loan'!$B$10,-'Home Loan'!$B$4)</f>
        <v>22011.644486962883</v>
      </c>
      <c r="E12" s="2">
        <f t="shared" si="3"/>
        <v>8416.3530378906653</v>
      </c>
      <c r="F12" s="2">
        <f t="shared" si="0"/>
        <v>2926469.5785571607</v>
      </c>
    </row>
    <row r="13" spans="1:13" x14ac:dyDescent="0.25">
      <c r="A13" s="42">
        <f t="shared" si="1"/>
        <v>10</v>
      </c>
      <c r="B13" s="2">
        <f t="shared" si="2"/>
        <v>2926469.5785571607</v>
      </c>
      <c r="C13" s="2">
        <f>PMT('Home Loan'!$B$9,'Home Loan'!$B$10,-'Home Loan'!$B$4)</f>
        <v>30427.997524853548</v>
      </c>
      <c r="D13" s="2">
        <f>IPMT('Home Loan'!$B$9,A13,'Home Loan'!$B$10,-'Home Loan'!$B$4)</f>
        <v>21948.521839178706</v>
      </c>
      <c r="E13" s="2">
        <f t="shared" si="3"/>
        <v>8479.4756856748427</v>
      </c>
      <c r="F13" s="2">
        <f t="shared" si="0"/>
        <v>2917990.102871486</v>
      </c>
    </row>
    <row r="14" spans="1:13" x14ac:dyDescent="0.25">
      <c r="A14" s="42">
        <f t="shared" si="1"/>
        <v>11</v>
      </c>
      <c r="B14" s="2">
        <f t="shared" si="2"/>
        <v>2917990.102871486</v>
      </c>
      <c r="C14" s="2">
        <f>PMT('Home Loan'!$B$9,'Home Loan'!$B$10,-'Home Loan'!$B$4)</f>
        <v>30427.997524853548</v>
      </c>
      <c r="D14" s="2">
        <f>IPMT('Home Loan'!$B$9,A14,'Home Loan'!$B$10,-'Home Loan'!$B$4)</f>
        <v>21884.925771536142</v>
      </c>
      <c r="E14" s="2">
        <f t="shared" si="3"/>
        <v>8543.0717533174065</v>
      </c>
      <c r="F14" s="2">
        <f t="shared" si="0"/>
        <v>2909447.0311181685</v>
      </c>
    </row>
    <row r="15" spans="1:13" x14ac:dyDescent="0.25">
      <c r="A15" s="42">
        <f t="shared" si="1"/>
        <v>12</v>
      </c>
      <c r="B15" s="2">
        <f t="shared" si="2"/>
        <v>2909447.0311181685</v>
      </c>
      <c r="C15" s="2">
        <f>PMT('Home Loan'!$B$9,'Home Loan'!$B$10,-'Home Loan'!$B$4)</f>
        <v>30427.997524853548</v>
      </c>
      <c r="D15" s="2">
        <f>IPMT('Home Loan'!$B$9,A15,'Home Loan'!$B$10,-'Home Loan'!$B$4)</f>
        <v>21820.852733386258</v>
      </c>
      <c r="E15" s="2">
        <f t="shared" si="3"/>
        <v>8607.1447914672899</v>
      </c>
      <c r="F15" s="2">
        <f t="shared" si="0"/>
        <v>2900839.8863267014</v>
      </c>
    </row>
    <row r="16" spans="1:13" x14ac:dyDescent="0.25">
      <c r="A16" s="42">
        <f t="shared" si="1"/>
        <v>13</v>
      </c>
      <c r="B16" s="2">
        <f t="shared" si="2"/>
        <v>2900839.8863267014</v>
      </c>
      <c r="C16" s="2">
        <f>PMT('Home Loan'!$B$9,'Home Loan'!$B$10,-'Home Loan'!$B$4)</f>
        <v>30427.997524853548</v>
      </c>
      <c r="D16" s="2">
        <f>IPMT('Home Loan'!$B$9,A16,'Home Loan'!$B$10,-'Home Loan'!$B$4)</f>
        <v>21756.299147450256</v>
      </c>
      <c r="E16" s="2">
        <f t="shared" si="3"/>
        <v>8671.6983774032924</v>
      </c>
      <c r="F16" s="2">
        <f t="shared" si="0"/>
        <v>2892168.1879492979</v>
      </c>
    </row>
    <row r="17" spans="1:6" x14ac:dyDescent="0.25">
      <c r="A17" s="42">
        <f t="shared" si="1"/>
        <v>14</v>
      </c>
      <c r="B17" s="2">
        <f t="shared" si="2"/>
        <v>2892168.1879492979</v>
      </c>
      <c r="C17" s="2">
        <f>PMT('Home Loan'!$B$9,'Home Loan'!$B$10,-'Home Loan'!$B$4)</f>
        <v>30427.997524853548</v>
      </c>
      <c r="D17" s="2">
        <f>IPMT('Home Loan'!$B$9,A17,'Home Loan'!$B$10,-'Home Loan'!$B$4)</f>
        <v>21691.261409619729</v>
      </c>
      <c r="E17" s="2">
        <f t="shared" si="3"/>
        <v>8736.7361152338199</v>
      </c>
      <c r="F17" s="2">
        <f t="shared" si="0"/>
        <v>2883431.451834064</v>
      </c>
    </row>
    <row r="18" spans="1:6" x14ac:dyDescent="0.25">
      <c r="A18" s="42">
        <f t="shared" si="1"/>
        <v>15</v>
      </c>
      <c r="B18" s="2">
        <f t="shared" si="2"/>
        <v>2883431.451834064</v>
      </c>
      <c r="C18" s="2">
        <f>PMT('Home Loan'!$B$9,'Home Loan'!$B$10,-'Home Loan'!$B$4)</f>
        <v>30427.997524853548</v>
      </c>
      <c r="D18" s="2">
        <f>IPMT('Home Loan'!$B$9,A18,'Home Loan'!$B$10,-'Home Loan'!$B$4)</f>
        <v>21625.735888755476</v>
      </c>
      <c r="E18" s="2">
        <f t="shared" si="3"/>
        <v>8802.2616360980719</v>
      </c>
      <c r="F18" s="2">
        <f t="shared" si="0"/>
        <v>2874629.1901979661</v>
      </c>
    </row>
    <row r="19" spans="1:6" x14ac:dyDescent="0.25">
      <c r="A19" s="42">
        <f t="shared" si="1"/>
        <v>16</v>
      </c>
      <c r="B19" s="2">
        <f t="shared" si="2"/>
        <v>2874629.1901979661</v>
      </c>
      <c r="C19" s="2">
        <f>PMT('Home Loan'!$B$9,'Home Loan'!$B$10,-'Home Loan'!$B$4)</f>
        <v>30427.997524853548</v>
      </c>
      <c r="D19" s="2">
        <f>IPMT('Home Loan'!$B$9,A19,'Home Loan'!$B$10,-'Home Loan'!$B$4)</f>
        <v>21559.718926484737</v>
      </c>
      <c r="E19" s="2">
        <f t="shared" si="3"/>
        <v>8868.2785983688118</v>
      </c>
      <c r="F19" s="2">
        <f t="shared" si="0"/>
        <v>2865760.9115995974</v>
      </c>
    </row>
    <row r="20" spans="1:6" x14ac:dyDescent="0.25">
      <c r="A20" s="42">
        <f t="shared" si="1"/>
        <v>17</v>
      </c>
      <c r="B20" s="2">
        <f t="shared" si="2"/>
        <v>2865760.9115995974</v>
      </c>
      <c r="C20" s="2">
        <f>PMT('Home Loan'!$B$9,'Home Loan'!$B$10,-'Home Loan'!$B$4)</f>
        <v>30427.997524853548</v>
      </c>
      <c r="D20" s="2">
        <f>IPMT('Home Loan'!$B$9,A20,'Home Loan'!$B$10,-'Home Loan'!$B$4)</f>
        <v>21493.206836996975</v>
      </c>
      <c r="E20" s="2">
        <f t="shared" si="3"/>
        <v>8934.7906878565736</v>
      </c>
      <c r="F20" s="2">
        <f t="shared" si="0"/>
        <v>2856826.1209117407</v>
      </c>
    </row>
    <row r="21" spans="1:6" x14ac:dyDescent="0.25">
      <c r="A21" s="42">
        <f t="shared" si="1"/>
        <v>18</v>
      </c>
      <c r="B21" s="2">
        <f t="shared" si="2"/>
        <v>2856826.1209117407</v>
      </c>
      <c r="C21" s="2">
        <f>PMT('Home Loan'!$B$9,'Home Loan'!$B$10,-'Home Loan'!$B$4)</f>
        <v>30427.997524853548</v>
      </c>
      <c r="D21" s="2">
        <f>IPMT('Home Loan'!$B$9,A21,'Home Loan'!$B$10,-'Home Loan'!$B$4)</f>
        <v>21426.195906838049</v>
      </c>
      <c r="E21" s="2">
        <f t="shared" si="3"/>
        <v>9001.8016180154991</v>
      </c>
      <c r="F21" s="2">
        <f t="shared" si="0"/>
        <v>2847824.3192937253</v>
      </c>
    </row>
    <row r="22" spans="1:6" x14ac:dyDescent="0.25">
      <c r="A22" s="42">
        <f t="shared" si="1"/>
        <v>19</v>
      </c>
      <c r="B22" s="2">
        <f t="shared" si="2"/>
        <v>2847824.3192937253</v>
      </c>
      <c r="C22" s="2">
        <f>PMT('Home Loan'!$B$9,'Home Loan'!$B$10,-'Home Loan'!$B$4)</f>
        <v>30427.997524853548</v>
      </c>
      <c r="D22" s="2">
        <f>IPMT('Home Loan'!$B$9,A22,'Home Loan'!$B$10,-'Home Loan'!$B$4)</f>
        <v>21358.682394702937</v>
      </c>
      <c r="E22" s="2">
        <f t="shared" si="3"/>
        <v>9069.3151301506114</v>
      </c>
      <c r="F22" s="2">
        <f t="shared" si="0"/>
        <v>2838755.0041635749</v>
      </c>
    </row>
    <row r="23" spans="1:6" x14ac:dyDescent="0.25">
      <c r="A23" s="42">
        <f t="shared" si="1"/>
        <v>20</v>
      </c>
      <c r="B23" s="2">
        <f t="shared" si="2"/>
        <v>2838755.0041635749</v>
      </c>
      <c r="C23" s="2">
        <f>PMT('Home Loan'!$B$9,'Home Loan'!$B$10,-'Home Loan'!$B$4)</f>
        <v>30427.997524853548</v>
      </c>
      <c r="D23" s="2">
        <f>IPMT('Home Loan'!$B$9,A23,'Home Loan'!$B$10,-'Home Loan'!$B$4)</f>
        <v>21290.662531226808</v>
      </c>
      <c r="E23" s="2">
        <f t="shared" si="3"/>
        <v>9137.3349936267405</v>
      </c>
      <c r="F23" s="2">
        <f t="shared" si="0"/>
        <v>2829617.669169948</v>
      </c>
    </row>
    <row r="24" spans="1:6" x14ac:dyDescent="0.25">
      <c r="A24" s="42">
        <f t="shared" si="1"/>
        <v>21</v>
      </c>
      <c r="B24" s="2">
        <f t="shared" si="2"/>
        <v>2829617.669169948</v>
      </c>
      <c r="C24" s="2">
        <f>PMT('Home Loan'!$B$9,'Home Loan'!$B$10,-'Home Loan'!$B$4)</f>
        <v>30427.997524853548</v>
      </c>
      <c r="D24" s="2">
        <f>IPMT('Home Loan'!$B$9,A24,'Home Loan'!$B$10,-'Home Loan'!$B$4)</f>
        <v>21222.132518774601</v>
      </c>
      <c r="E24" s="2">
        <f t="shared" si="3"/>
        <v>9205.8650060789478</v>
      </c>
      <c r="F24" s="2">
        <f t="shared" si="0"/>
        <v>2820411.804163869</v>
      </c>
    </row>
    <row r="25" spans="1:6" x14ac:dyDescent="0.25">
      <c r="A25" s="42">
        <f t="shared" si="1"/>
        <v>22</v>
      </c>
      <c r="B25" s="2">
        <f t="shared" si="2"/>
        <v>2820411.804163869</v>
      </c>
      <c r="C25" s="2">
        <f>PMT('Home Loan'!$B$9,'Home Loan'!$B$10,-'Home Loan'!$B$4)</f>
        <v>30427.997524853548</v>
      </c>
      <c r="D25" s="2">
        <f>IPMT('Home Loan'!$B$9,A25,'Home Loan'!$B$10,-'Home Loan'!$B$4)</f>
        <v>21153.088531229012</v>
      </c>
      <c r="E25" s="2">
        <f t="shared" si="3"/>
        <v>9274.9089936245364</v>
      </c>
      <c r="F25" s="2">
        <f t="shared" si="0"/>
        <v>2811136.8951702444</v>
      </c>
    </row>
    <row r="26" spans="1:6" x14ac:dyDescent="0.25">
      <c r="A26" s="42">
        <f t="shared" si="1"/>
        <v>23</v>
      </c>
      <c r="B26" s="2">
        <f t="shared" si="2"/>
        <v>2811136.8951702444</v>
      </c>
      <c r="C26" s="2">
        <f>PMT('Home Loan'!$B$9,'Home Loan'!$B$10,-'Home Loan'!$B$4)</f>
        <v>30427.997524853548</v>
      </c>
      <c r="D26" s="2">
        <f>IPMT('Home Loan'!$B$9,A26,'Home Loan'!$B$10,-'Home Loan'!$B$4)</f>
        <v>21083.526713776831</v>
      </c>
      <c r="E26" s="2">
        <f t="shared" si="3"/>
        <v>9344.4708110767169</v>
      </c>
      <c r="F26" s="2">
        <f t="shared" si="0"/>
        <v>2801792.4243591675</v>
      </c>
    </row>
    <row r="27" spans="1:6" x14ac:dyDescent="0.25">
      <c r="A27" s="42">
        <f t="shared" si="1"/>
        <v>24</v>
      </c>
      <c r="B27" s="2">
        <f t="shared" si="2"/>
        <v>2801792.4243591675</v>
      </c>
      <c r="C27" s="2">
        <f>PMT('Home Loan'!$B$9,'Home Loan'!$B$10,-'Home Loan'!$B$4)</f>
        <v>30427.997524853548</v>
      </c>
      <c r="D27" s="2">
        <f>IPMT('Home Loan'!$B$9,A27,'Home Loan'!$B$10,-'Home Loan'!$B$4)</f>
        <v>21013.443182693754</v>
      </c>
      <c r="E27" s="2">
        <f t="shared" si="3"/>
        <v>9414.554342159794</v>
      </c>
      <c r="F27" s="2">
        <f t="shared" si="0"/>
        <v>2792377.8700170075</v>
      </c>
    </row>
    <row r="28" spans="1:6" x14ac:dyDescent="0.25">
      <c r="A28" s="42">
        <f t="shared" si="1"/>
        <v>25</v>
      </c>
      <c r="B28" s="2">
        <f t="shared" si="2"/>
        <v>2792377.8700170075</v>
      </c>
      <c r="C28" s="2">
        <f>PMT('Home Loan'!$B$9,'Home Loan'!$B$10,-'Home Loan'!$B$4)</f>
        <v>30427.997524853548</v>
      </c>
      <c r="D28" s="2">
        <f>IPMT('Home Loan'!$B$9,A28,'Home Loan'!$B$10,-'Home Loan'!$B$4)</f>
        <v>20942.834025127555</v>
      </c>
      <c r="E28" s="2">
        <f t="shared" si="3"/>
        <v>9485.1634997259935</v>
      </c>
      <c r="F28" s="2">
        <f t="shared" si="0"/>
        <v>2782892.7065172815</v>
      </c>
    </row>
    <row r="29" spans="1:6" x14ac:dyDescent="0.25">
      <c r="A29" s="42">
        <f t="shared" si="1"/>
        <v>26</v>
      </c>
      <c r="B29" s="2">
        <f t="shared" si="2"/>
        <v>2782892.7065172815</v>
      </c>
      <c r="C29" s="2">
        <f>PMT('Home Loan'!$B$9,'Home Loan'!$B$10,-'Home Loan'!$B$4)</f>
        <v>30427.997524853548</v>
      </c>
      <c r="D29" s="2">
        <f>IPMT('Home Loan'!$B$9,A29,'Home Loan'!$B$10,-'Home Loan'!$B$4)</f>
        <v>20871.695298879611</v>
      </c>
      <c r="E29" s="2">
        <f t="shared" si="3"/>
        <v>9556.3022259739373</v>
      </c>
      <c r="F29" s="2">
        <f t="shared" si="0"/>
        <v>2773336.4042913076</v>
      </c>
    </row>
    <row r="30" spans="1:6" x14ac:dyDescent="0.25">
      <c r="A30" s="42">
        <f t="shared" si="1"/>
        <v>27</v>
      </c>
      <c r="B30" s="2">
        <f t="shared" si="2"/>
        <v>2773336.4042913076</v>
      </c>
      <c r="C30" s="2">
        <f>PMT('Home Loan'!$B$9,'Home Loan'!$B$10,-'Home Loan'!$B$4)</f>
        <v>30427.997524853548</v>
      </c>
      <c r="D30" s="2">
        <f>IPMT('Home Loan'!$B$9,A30,'Home Loan'!$B$10,-'Home Loan'!$B$4)</f>
        <v>20800.02303218481</v>
      </c>
      <c r="E30" s="2">
        <f t="shared" si="3"/>
        <v>9627.9744926687381</v>
      </c>
      <c r="F30" s="2">
        <f t="shared" si="0"/>
        <v>2763708.4297986389</v>
      </c>
    </row>
    <row r="31" spans="1:6" x14ac:dyDescent="0.25">
      <c r="A31" s="42">
        <f t="shared" si="1"/>
        <v>28</v>
      </c>
      <c r="B31" s="2">
        <f t="shared" si="2"/>
        <v>2763708.4297986389</v>
      </c>
      <c r="C31" s="2">
        <f>PMT('Home Loan'!$B$9,'Home Loan'!$B$10,-'Home Loan'!$B$4)</f>
        <v>30427.997524853548</v>
      </c>
      <c r="D31" s="2">
        <f>IPMT('Home Loan'!$B$9,A31,'Home Loan'!$B$10,-'Home Loan'!$B$4)</f>
        <v>20727.813223489789</v>
      </c>
      <c r="E31" s="2">
        <f t="shared" si="3"/>
        <v>9700.184301363759</v>
      </c>
      <c r="F31" s="2">
        <f t="shared" si="0"/>
        <v>2754008.2454972751</v>
      </c>
    </row>
    <row r="32" spans="1:6" x14ac:dyDescent="0.25">
      <c r="A32" s="42">
        <f t="shared" si="1"/>
        <v>29</v>
      </c>
      <c r="B32" s="2">
        <f t="shared" si="2"/>
        <v>2754008.2454972751</v>
      </c>
      <c r="C32" s="2">
        <f>PMT('Home Loan'!$B$9,'Home Loan'!$B$10,-'Home Loan'!$B$4)</f>
        <v>30427.997524853548</v>
      </c>
      <c r="D32" s="2">
        <f>IPMT('Home Loan'!$B$9,A32,'Home Loan'!$B$10,-'Home Loan'!$B$4)</f>
        <v>20655.061841229563</v>
      </c>
      <c r="E32" s="2">
        <f t="shared" si="3"/>
        <v>9772.9356836239858</v>
      </c>
      <c r="F32" s="2">
        <f t="shared" si="0"/>
        <v>2744235.3098136513</v>
      </c>
    </row>
    <row r="33" spans="1:6" x14ac:dyDescent="0.25">
      <c r="A33" s="42">
        <f t="shared" si="1"/>
        <v>30</v>
      </c>
      <c r="B33" s="2">
        <f t="shared" si="2"/>
        <v>2744235.3098136513</v>
      </c>
      <c r="C33" s="2">
        <f>PMT('Home Loan'!$B$9,'Home Loan'!$B$10,-'Home Loan'!$B$4)</f>
        <v>30427.997524853548</v>
      </c>
      <c r="D33" s="2">
        <f>IPMT('Home Loan'!$B$9,A33,'Home Loan'!$B$10,-'Home Loan'!$B$4)</f>
        <v>20581.764823602382</v>
      </c>
      <c r="E33" s="2">
        <f t="shared" si="3"/>
        <v>9846.2327012511669</v>
      </c>
      <c r="F33" s="2">
        <f t="shared" si="0"/>
        <v>2734389.0771124</v>
      </c>
    </row>
    <row r="34" spans="1:6" x14ac:dyDescent="0.25">
      <c r="A34" s="42">
        <f t="shared" si="1"/>
        <v>31</v>
      </c>
      <c r="B34" s="2">
        <f t="shared" si="2"/>
        <v>2734389.0771124</v>
      </c>
      <c r="C34" s="2">
        <f>PMT('Home Loan'!$B$9,'Home Loan'!$B$10,-'Home Loan'!$B$4)</f>
        <v>30427.997524853548</v>
      </c>
      <c r="D34" s="2">
        <f>IPMT('Home Loan'!$B$9,A34,'Home Loan'!$B$10,-'Home Loan'!$B$4)</f>
        <v>20507.918078342998</v>
      </c>
      <c r="E34" s="2">
        <f t="shared" si="3"/>
        <v>9920.07944651055</v>
      </c>
      <c r="F34" s="2">
        <f t="shared" si="0"/>
        <v>2724468.9976658896</v>
      </c>
    </row>
    <row r="35" spans="1:6" x14ac:dyDescent="0.25">
      <c r="A35" s="42">
        <f t="shared" si="1"/>
        <v>32</v>
      </c>
      <c r="B35" s="2">
        <f t="shared" si="2"/>
        <v>2724468.9976658896</v>
      </c>
      <c r="C35" s="2">
        <f>PMT('Home Loan'!$B$9,'Home Loan'!$B$10,-'Home Loan'!$B$4)</f>
        <v>30427.997524853548</v>
      </c>
      <c r="D35" s="2">
        <f>IPMT('Home Loan'!$B$9,A35,'Home Loan'!$B$10,-'Home Loan'!$B$4)</f>
        <v>20433.517482494168</v>
      </c>
      <c r="E35" s="2">
        <f t="shared" si="3"/>
        <v>9994.4800423593806</v>
      </c>
      <c r="F35" s="2">
        <f t="shared" si="0"/>
        <v>2714474.5176235302</v>
      </c>
    </row>
    <row r="36" spans="1:6" x14ac:dyDescent="0.25">
      <c r="A36" s="42">
        <f t="shared" si="1"/>
        <v>33</v>
      </c>
      <c r="B36" s="2">
        <f t="shared" si="2"/>
        <v>2714474.5176235302</v>
      </c>
      <c r="C36" s="2">
        <f>PMT('Home Loan'!$B$9,'Home Loan'!$B$10,-'Home Loan'!$B$4)</f>
        <v>30427.997524853548</v>
      </c>
      <c r="D36" s="2">
        <f>IPMT('Home Loan'!$B$9,A36,'Home Loan'!$B$10,-'Home Loan'!$B$4)</f>
        <v>20358.558882176472</v>
      </c>
      <c r="E36" s="2">
        <f t="shared" si="3"/>
        <v>10069.438642677076</v>
      </c>
      <c r="F36" s="2">
        <f t="shared" si="0"/>
        <v>2704405.0789808533</v>
      </c>
    </row>
    <row r="37" spans="1:6" x14ac:dyDescent="0.25">
      <c r="A37" s="42">
        <f t="shared" si="1"/>
        <v>34</v>
      </c>
      <c r="B37" s="2">
        <f t="shared" si="2"/>
        <v>2704405.0789808533</v>
      </c>
      <c r="C37" s="2">
        <f>PMT('Home Loan'!$B$9,'Home Loan'!$B$10,-'Home Loan'!$B$4)</f>
        <v>30427.997524853548</v>
      </c>
      <c r="D37" s="2">
        <f>IPMT('Home Loan'!$B$9,A37,'Home Loan'!$B$10,-'Home Loan'!$B$4)</f>
        <v>20283.038092356397</v>
      </c>
      <c r="E37" s="2">
        <f t="shared" si="3"/>
        <v>10144.959432497151</v>
      </c>
      <c r="F37" s="2">
        <f t="shared" si="0"/>
        <v>2694260.1195483562</v>
      </c>
    </row>
    <row r="38" spans="1:6" x14ac:dyDescent="0.25">
      <c r="A38" s="42">
        <f t="shared" si="1"/>
        <v>35</v>
      </c>
      <c r="B38" s="2">
        <f t="shared" si="2"/>
        <v>2694260.1195483562</v>
      </c>
      <c r="C38" s="2">
        <f>PMT('Home Loan'!$B$9,'Home Loan'!$B$10,-'Home Loan'!$B$4)</f>
        <v>30427.997524853548</v>
      </c>
      <c r="D38" s="2">
        <f>IPMT('Home Loan'!$B$9,A38,'Home Loan'!$B$10,-'Home Loan'!$B$4)</f>
        <v>20206.95089661267</v>
      </c>
      <c r="E38" s="2">
        <f t="shared" si="3"/>
        <v>10221.046628240878</v>
      </c>
      <c r="F38" s="2">
        <f t="shared" si="0"/>
        <v>2684039.0729201152</v>
      </c>
    </row>
    <row r="39" spans="1:6" x14ac:dyDescent="0.25">
      <c r="A39" s="42">
        <f t="shared" si="1"/>
        <v>36</v>
      </c>
      <c r="B39" s="2">
        <f t="shared" si="2"/>
        <v>2684039.0729201152</v>
      </c>
      <c r="C39" s="2">
        <f>PMT('Home Loan'!$B$9,'Home Loan'!$B$10,-'Home Loan'!$B$4)</f>
        <v>30427.997524853548</v>
      </c>
      <c r="D39" s="2">
        <f>IPMT('Home Loan'!$B$9,A39,'Home Loan'!$B$10,-'Home Loan'!$B$4)</f>
        <v>20130.293046900861</v>
      </c>
      <c r="E39" s="2">
        <f t="shared" si="3"/>
        <v>10297.704477952688</v>
      </c>
      <c r="F39" s="2">
        <f t="shared" si="0"/>
        <v>2673741.3684421624</v>
      </c>
    </row>
    <row r="40" spans="1:6" x14ac:dyDescent="0.25">
      <c r="A40" s="42">
        <f t="shared" si="1"/>
        <v>37</v>
      </c>
      <c r="B40" s="2">
        <f t="shared" si="2"/>
        <v>2673741.3684421624</v>
      </c>
      <c r="C40" s="2">
        <f>PMT('Home Loan'!$B$9,'Home Loan'!$B$10,-'Home Loan'!$B$4)</f>
        <v>30427.997524853548</v>
      </c>
      <c r="D40" s="2">
        <f>IPMT('Home Loan'!$B$9,A40,'Home Loan'!$B$10,-'Home Loan'!$B$4)</f>
        <v>20053.060263316213</v>
      </c>
      <c r="E40" s="2">
        <f t="shared" si="3"/>
        <v>10374.937261537336</v>
      </c>
      <c r="F40" s="2">
        <f t="shared" si="0"/>
        <v>2663366.4311806252</v>
      </c>
    </row>
    <row r="41" spans="1:6" x14ac:dyDescent="0.25">
      <c r="A41" s="42">
        <f t="shared" si="1"/>
        <v>38</v>
      </c>
      <c r="B41" s="2">
        <f t="shared" si="2"/>
        <v>2663366.4311806252</v>
      </c>
      <c r="C41" s="2">
        <f>PMT('Home Loan'!$B$9,'Home Loan'!$B$10,-'Home Loan'!$B$4)</f>
        <v>30427.997524853548</v>
      </c>
      <c r="D41" s="2">
        <f>IPMT('Home Loan'!$B$9,A41,'Home Loan'!$B$10,-'Home Loan'!$B$4)</f>
        <v>19975.248233854687</v>
      </c>
      <c r="E41" s="2">
        <f t="shared" si="3"/>
        <v>10452.749290998861</v>
      </c>
      <c r="F41" s="2">
        <f t="shared" si="0"/>
        <v>2652913.6818896262</v>
      </c>
    </row>
    <row r="42" spans="1:6" x14ac:dyDescent="0.25">
      <c r="A42" s="42">
        <f t="shared" si="1"/>
        <v>39</v>
      </c>
      <c r="B42" s="2">
        <f t="shared" si="2"/>
        <v>2652913.6818896262</v>
      </c>
      <c r="C42" s="2">
        <f>PMT('Home Loan'!$B$9,'Home Loan'!$B$10,-'Home Loan'!$B$4)</f>
        <v>30427.997524853548</v>
      </c>
      <c r="D42" s="2">
        <f>IPMT('Home Loan'!$B$9,A42,'Home Loan'!$B$10,-'Home Loan'!$B$4)</f>
        <v>19896.852614172192</v>
      </c>
      <c r="E42" s="2">
        <f t="shared" si="3"/>
        <v>10531.144910681356</v>
      </c>
      <c r="F42" s="2">
        <f t="shared" si="0"/>
        <v>2642382.5369789447</v>
      </c>
    </row>
    <row r="43" spans="1:6" x14ac:dyDescent="0.25">
      <c r="A43" s="42">
        <f t="shared" si="1"/>
        <v>40</v>
      </c>
      <c r="B43" s="2">
        <f t="shared" si="2"/>
        <v>2642382.5369789447</v>
      </c>
      <c r="C43" s="2">
        <f>PMT('Home Loan'!$B$9,'Home Loan'!$B$10,-'Home Loan'!$B$4)</f>
        <v>30427.997524853548</v>
      </c>
      <c r="D43" s="2">
        <f>IPMT('Home Loan'!$B$9,A43,'Home Loan'!$B$10,-'Home Loan'!$B$4)</f>
        <v>19817.869027342087</v>
      </c>
      <c r="E43" s="2">
        <f t="shared" si="3"/>
        <v>10610.128497511461</v>
      </c>
      <c r="F43" s="2">
        <f t="shared" si="0"/>
        <v>2631772.4084814331</v>
      </c>
    </row>
    <row r="44" spans="1:6" x14ac:dyDescent="0.25">
      <c r="A44" s="42">
        <f t="shared" si="1"/>
        <v>41</v>
      </c>
      <c r="B44" s="2">
        <f t="shared" si="2"/>
        <v>2631772.4084814331</v>
      </c>
      <c r="C44" s="2">
        <f>PMT('Home Loan'!$B$9,'Home Loan'!$B$10,-'Home Loan'!$B$4)</f>
        <v>30427.997524853548</v>
      </c>
      <c r="D44" s="2">
        <f>IPMT('Home Loan'!$B$9,A44,'Home Loan'!$B$10,-'Home Loan'!$B$4)</f>
        <v>19738.293063610749</v>
      </c>
      <c r="E44" s="2">
        <f t="shared" si="3"/>
        <v>10689.7044612428</v>
      </c>
      <c r="F44" s="2">
        <f t="shared" si="0"/>
        <v>2621082.7040201901</v>
      </c>
    </row>
    <row r="45" spans="1:6" x14ac:dyDescent="0.25">
      <c r="A45" s="42">
        <f t="shared" si="1"/>
        <v>42</v>
      </c>
      <c r="B45" s="2">
        <f t="shared" si="2"/>
        <v>2621082.7040201901</v>
      </c>
      <c r="C45" s="2">
        <f>PMT('Home Loan'!$B$9,'Home Loan'!$B$10,-'Home Loan'!$B$4)</f>
        <v>30427.997524853548</v>
      </c>
      <c r="D45" s="2">
        <f>IPMT('Home Loan'!$B$9,A45,'Home Loan'!$B$10,-'Home Loan'!$B$4)</f>
        <v>19658.120280151426</v>
      </c>
      <c r="E45" s="2">
        <f t="shared" si="3"/>
        <v>10769.877244702122</v>
      </c>
      <c r="F45" s="2">
        <f t="shared" si="0"/>
        <v>2610312.826775488</v>
      </c>
    </row>
    <row r="46" spans="1:6" x14ac:dyDescent="0.25">
      <c r="A46" s="42">
        <f t="shared" si="1"/>
        <v>43</v>
      </c>
      <c r="B46" s="2">
        <f t="shared" si="2"/>
        <v>2610312.826775488</v>
      </c>
      <c r="C46" s="2">
        <f>PMT('Home Loan'!$B$9,'Home Loan'!$B$10,-'Home Loan'!$B$4)</f>
        <v>30427.997524853548</v>
      </c>
      <c r="D46" s="2">
        <f>IPMT('Home Loan'!$B$9,A46,'Home Loan'!$B$10,-'Home Loan'!$B$4)</f>
        <v>19577.346200816162</v>
      </c>
      <c r="E46" s="2">
        <f t="shared" si="3"/>
        <v>10850.651324037386</v>
      </c>
      <c r="F46" s="2">
        <f t="shared" si="0"/>
        <v>2599462.1754514505</v>
      </c>
    </row>
    <row r="47" spans="1:6" x14ac:dyDescent="0.25">
      <c r="A47" s="42">
        <f t="shared" si="1"/>
        <v>44</v>
      </c>
      <c r="B47" s="2">
        <f t="shared" si="2"/>
        <v>2599462.1754514505</v>
      </c>
      <c r="C47" s="2">
        <f>PMT('Home Loan'!$B$9,'Home Loan'!$B$10,-'Home Loan'!$B$4)</f>
        <v>30427.997524853548</v>
      </c>
      <c r="D47" s="2">
        <f>IPMT('Home Loan'!$B$9,A47,'Home Loan'!$B$10,-'Home Loan'!$B$4)</f>
        <v>19495.966315885882</v>
      </c>
      <c r="E47" s="2">
        <f t="shared" si="3"/>
        <v>10932.031208967666</v>
      </c>
      <c r="F47" s="2">
        <f t="shared" si="0"/>
        <v>2588530.1442424827</v>
      </c>
    </row>
    <row r="48" spans="1:6" x14ac:dyDescent="0.25">
      <c r="A48" s="42">
        <f t="shared" si="1"/>
        <v>45</v>
      </c>
      <c r="B48" s="2">
        <f t="shared" si="2"/>
        <v>2588530.1442424827</v>
      </c>
      <c r="C48" s="2">
        <f>PMT('Home Loan'!$B$9,'Home Loan'!$B$10,-'Home Loan'!$B$4)</f>
        <v>30427.997524853548</v>
      </c>
      <c r="D48" s="2">
        <f>IPMT('Home Loan'!$B$9,A48,'Home Loan'!$B$10,-'Home Loan'!$B$4)</f>
        <v>19413.976081818619</v>
      </c>
      <c r="E48" s="2">
        <f t="shared" si="3"/>
        <v>11014.02144303493</v>
      </c>
      <c r="F48" s="2">
        <f t="shared" si="0"/>
        <v>2577516.1227994477</v>
      </c>
    </row>
    <row r="49" spans="1:6" x14ac:dyDescent="0.25">
      <c r="A49" s="42">
        <f t="shared" si="1"/>
        <v>46</v>
      </c>
      <c r="B49" s="2">
        <f t="shared" si="2"/>
        <v>2577516.1227994477</v>
      </c>
      <c r="C49" s="2">
        <f>PMT('Home Loan'!$B$9,'Home Loan'!$B$10,-'Home Loan'!$B$4)</f>
        <v>30427.997524853548</v>
      </c>
      <c r="D49" s="2">
        <f>IPMT('Home Loan'!$B$9,A49,'Home Loan'!$B$10,-'Home Loan'!$B$4)</f>
        <v>19331.370920995862</v>
      </c>
      <c r="E49" s="2">
        <f t="shared" si="3"/>
        <v>11096.626603857687</v>
      </c>
      <c r="F49" s="2">
        <f t="shared" si="0"/>
        <v>2566419.4961955901</v>
      </c>
    </row>
    <row r="50" spans="1:6" x14ac:dyDescent="0.25">
      <c r="A50" s="42">
        <f t="shared" si="1"/>
        <v>47</v>
      </c>
      <c r="B50" s="2">
        <f t="shared" si="2"/>
        <v>2566419.4961955901</v>
      </c>
      <c r="C50" s="2">
        <f>PMT('Home Loan'!$B$9,'Home Loan'!$B$10,-'Home Loan'!$B$4)</f>
        <v>30427.997524853548</v>
      </c>
      <c r="D50" s="2">
        <f>IPMT('Home Loan'!$B$9,A50,'Home Loan'!$B$10,-'Home Loan'!$B$4)</f>
        <v>19248.14622146693</v>
      </c>
      <c r="E50" s="2">
        <f t="shared" si="3"/>
        <v>11179.851303386618</v>
      </c>
      <c r="F50" s="2">
        <f t="shared" si="0"/>
        <v>2555239.6448922036</v>
      </c>
    </row>
    <row r="51" spans="1:6" x14ac:dyDescent="0.25">
      <c r="A51" s="42">
        <f t="shared" si="1"/>
        <v>48</v>
      </c>
      <c r="B51" s="2">
        <f t="shared" si="2"/>
        <v>2555239.6448922036</v>
      </c>
      <c r="C51" s="2">
        <f>PMT('Home Loan'!$B$9,'Home Loan'!$B$10,-'Home Loan'!$B$4)</f>
        <v>30427.997524853548</v>
      </c>
      <c r="D51" s="2">
        <f>IPMT('Home Loan'!$B$9,A51,'Home Loan'!$B$10,-'Home Loan'!$B$4)</f>
        <v>19164.297336691525</v>
      </c>
      <c r="E51" s="2">
        <f t="shared" si="3"/>
        <v>11263.700188162024</v>
      </c>
      <c r="F51" s="2">
        <f t="shared" si="0"/>
        <v>2543975.9447040418</v>
      </c>
    </row>
    <row r="52" spans="1:6" x14ac:dyDescent="0.25">
      <c r="A52" s="42">
        <f t="shared" si="1"/>
        <v>49</v>
      </c>
      <c r="B52" s="2">
        <f t="shared" si="2"/>
        <v>2543975.9447040418</v>
      </c>
      <c r="C52" s="2">
        <f>PMT('Home Loan'!$B$9,'Home Loan'!$B$10,-'Home Loan'!$B$4)</f>
        <v>30427.997524853548</v>
      </c>
      <c r="D52" s="2">
        <f>IPMT('Home Loan'!$B$9,A52,'Home Loan'!$B$10,-'Home Loan'!$B$4)</f>
        <v>19079.819585280315</v>
      </c>
      <c r="E52" s="2">
        <f t="shared" si="3"/>
        <v>11348.177939573234</v>
      </c>
      <c r="F52" s="2">
        <f t="shared" si="0"/>
        <v>2532627.7667644685</v>
      </c>
    </row>
    <row r="53" spans="1:6" x14ac:dyDescent="0.25">
      <c r="A53" s="42">
        <f t="shared" si="1"/>
        <v>50</v>
      </c>
      <c r="B53" s="2">
        <f t="shared" si="2"/>
        <v>2532627.7667644685</v>
      </c>
      <c r="C53" s="2">
        <f>PMT('Home Loan'!$B$9,'Home Loan'!$B$10,-'Home Loan'!$B$4)</f>
        <v>30427.997524853548</v>
      </c>
      <c r="D53" s="2">
        <f>IPMT('Home Loan'!$B$9,A53,'Home Loan'!$B$10,-'Home Loan'!$B$4)</f>
        <v>18994.708250733514</v>
      </c>
      <c r="E53" s="2">
        <f t="shared" si="3"/>
        <v>11433.289274120034</v>
      </c>
      <c r="F53" s="2">
        <f t="shared" si="0"/>
        <v>2521194.4774903483</v>
      </c>
    </row>
    <row r="54" spans="1:6" x14ac:dyDescent="0.25">
      <c r="A54" s="42">
        <f t="shared" si="1"/>
        <v>51</v>
      </c>
      <c r="B54" s="2">
        <f t="shared" si="2"/>
        <v>2521194.4774903483</v>
      </c>
      <c r="C54" s="2">
        <f>PMT('Home Loan'!$B$9,'Home Loan'!$B$10,-'Home Loan'!$B$4)</f>
        <v>30427.997524853548</v>
      </c>
      <c r="D54" s="2">
        <f>IPMT('Home Loan'!$B$9,A54,'Home Loan'!$B$10,-'Home Loan'!$B$4)</f>
        <v>18908.958581177612</v>
      </c>
      <c r="E54" s="2">
        <f t="shared" si="3"/>
        <v>11519.038943675936</v>
      </c>
      <c r="F54" s="2">
        <f t="shared" si="0"/>
        <v>2509675.4385466725</v>
      </c>
    </row>
    <row r="55" spans="1:6" x14ac:dyDescent="0.25">
      <c r="A55" s="42">
        <f t="shared" si="1"/>
        <v>52</v>
      </c>
      <c r="B55" s="2">
        <f t="shared" si="2"/>
        <v>2509675.4385466725</v>
      </c>
      <c r="C55" s="2">
        <f>PMT('Home Loan'!$B$9,'Home Loan'!$B$10,-'Home Loan'!$B$4)</f>
        <v>30427.997524853548</v>
      </c>
      <c r="D55" s="2">
        <f>IPMT('Home Loan'!$B$9,A55,'Home Loan'!$B$10,-'Home Loan'!$B$4)</f>
        <v>18822.565789100045</v>
      </c>
      <c r="E55" s="2">
        <f t="shared" si="3"/>
        <v>11605.431735753504</v>
      </c>
      <c r="F55" s="2">
        <f t="shared" si="0"/>
        <v>2498070.0068109189</v>
      </c>
    </row>
    <row r="56" spans="1:6" x14ac:dyDescent="0.25">
      <c r="A56" s="42">
        <f t="shared" si="1"/>
        <v>53</v>
      </c>
      <c r="B56" s="2">
        <f t="shared" si="2"/>
        <v>2498070.0068109189</v>
      </c>
      <c r="C56" s="2">
        <f>PMT('Home Loan'!$B$9,'Home Loan'!$B$10,-'Home Loan'!$B$4)</f>
        <v>30427.997524853548</v>
      </c>
      <c r="D56" s="2">
        <f>IPMT('Home Loan'!$B$9,A56,'Home Loan'!$B$10,-'Home Loan'!$B$4)</f>
        <v>18735.525051081891</v>
      </c>
      <c r="E56" s="2">
        <f t="shared" si="3"/>
        <v>11692.472473771657</v>
      </c>
      <c r="F56" s="2">
        <f t="shared" si="0"/>
        <v>2486377.5343371471</v>
      </c>
    </row>
    <row r="57" spans="1:6" x14ac:dyDescent="0.25">
      <c r="A57" s="42">
        <f t="shared" si="1"/>
        <v>54</v>
      </c>
      <c r="B57" s="2">
        <f t="shared" si="2"/>
        <v>2486377.5343371471</v>
      </c>
      <c r="C57" s="2">
        <f>PMT('Home Loan'!$B$9,'Home Loan'!$B$10,-'Home Loan'!$B$4)</f>
        <v>30427.997524853548</v>
      </c>
      <c r="D57" s="2">
        <f>IPMT('Home Loan'!$B$9,A57,'Home Loan'!$B$10,-'Home Loan'!$B$4)</f>
        <v>18647.831507528605</v>
      </c>
      <c r="E57" s="2">
        <f t="shared" si="3"/>
        <v>11780.166017324944</v>
      </c>
      <c r="F57" s="2">
        <f t="shared" si="0"/>
        <v>2474597.368319822</v>
      </c>
    </row>
    <row r="58" spans="1:6" x14ac:dyDescent="0.25">
      <c r="A58" s="42">
        <f t="shared" si="1"/>
        <v>55</v>
      </c>
      <c r="B58" s="2">
        <f t="shared" si="2"/>
        <v>2474597.368319822</v>
      </c>
      <c r="C58" s="2">
        <f>PMT('Home Loan'!$B$9,'Home Loan'!$B$10,-'Home Loan'!$B$4)</f>
        <v>30427.997524853548</v>
      </c>
      <c r="D58" s="2">
        <f>IPMT('Home Loan'!$B$9,A58,'Home Loan'!$B$10,-'Home Loan'!$B$4)</f>
        <v>18559.480262398669</v>
      </c>
      <c r="E58" s="2">
        <f t="shared" si="3"/>
        <v>11868.51726245488</v>
      </c>
      <c r="F58" s="2">
        <f t="shared" si="0"/>
        <v>2462728.8510573669</v>
      </c>
    </row>
    <row r="59" spans="1:6" x14ac:dyDescent="0.25">
      <c r="A59" s="42">
        <f t="shared" si="1"/>
        <v>56</v>
      </c>
      <c r="B59" s="2">
        <f t="shared" si="2"/>
        <v>2462728.8510573669</v>
      </c>
      <c r="C59" s="2">
        <f>PMT('Home Loan'!$B$9,'Home Loan'!$B$10,-'Home Loan'!$B$4)</f>
        <v>30427.997524853548</v>
      </c>
      <c r="D59" s="2">
        <f>IPMT('Home Loan'!$B$9,A59,'Home Loan'!$B$10,-'Home Loan'!$B$4)</f>
        <v>18470.466382930255</v>
      </c>
      <c r="E59" s="2">
        <f t="shared" si="3"/>
        <v>11957.531141923293</v>
      </c>
      <c r="F59" s="2">
        <f t="shared" si="0"/>
        <v>2450771.3199154437</v>
      </c>
    </row>
    <row r="60" spans="1:6" x14ac:dyDescent="0.25">
      <c r="A60" s="42">
        <f t="shared" si="1"/>
        <v>57</v>
      </c>
      <c r="B60" s="2">
        <f t="shared" si="2"/>
        <v>2450771.3199154437</v>
      </c>
      <c r="C60" s="2">
        <f>PMT('Home Loan'!$B$9,'Home Loan'!$B$10,-'Home Loan'!$B$4)</f>
        <v>30427.997524853548</v>
      </c>
      <c r="D60" s="2">
        <f>IPMT('Home Loan'!$B$9,A60,'Home Loan'!$B$10,-'Home Loan'!$B$4)</f>
        <v>18380.78489936583</v>
      </c>
      <c r="E60" s="2">
        <f t="shared" si="3"/>
        <v>12047.212625487718</v>
      </c>
      <c r="F60" s="2">
        <f t="shared" si="0"/>
        <v>2438724.107289956</v>
      </c>
    </row>
    <row r="61" spans="1:6" x14ac:dyDescent="0.25">
      <c r="A61" s="42">
        <f t="shared" si="1"/>
        <v>58</v>
      </c>
      <c r="B61" s="2">
        <f t="shared" si="2"/>
        <v>2438724.107289956</v>
      </c>
      <c r="C61" s="2">
        <f>PMT('Home Loan'!$B$9,'Home Loan'!$B$10,-'Home Loan'!$B$4)</f>
        <v>30427.997524853548</v>
      </c>
      <c r="D61" s="2">
        <f>IPMT('Home Loan'!$B$9,A61,'Home Loan'!$B$10,-'Home Loan'!$B$4)</f>
        <v>18290.430804674677</v>
      </c>
      <c r="E61" s="2">
        <f t="shared" si="3"/>
        <v>12137.566720178871</v>
      </c>
      <c r="F61" s="2">
        <f t="shared" si="0"/>
        <v>2426586.5405697771</v>
      </c>
    </row>
    <row r="62" spans="1:6" x14ac:dyDescent="0.25">
      <c r="A62" s="42">
        <f t="shared" si="1"/>
        <v>59</v>
      </c>
      <c r="B62" s="2">
        <f t="shared" si="2"/>
        <v>2426586.5405697771</v>
      </c>
      <c r="C62" s="2">
        <f>PMT('Home Loan'!$B$9,'Home Loan'!$B$10,-'Home Loan'!$B$4)</f>
        <v>30427.997524853548</v>
      </c>
      <c r="D62" s="2">
        <f>IPMT('Home Loan'!$B$9,A62,'Home Loan'!$B$10,-'Home Loan'!$B$4)</f>
        <v>18199.39905427333</v>
      </c>
      <c r="E62" s="2">
        <f t="shared" si="3"/>
        <v>12228.598470580218</v>
      </c>
      <c r="F62" s="2">
        <f t="shared" si="0"/>
        <v>2414357.9420991968</v>
      </c>
    </row>
    <row r="63" spans="1:6" x14ac:dyDescent="0.25">
      <c r="A63" s="42">
        <f t="shared" si="1"/>
        <v>60</v>
      </c>
      <c r="B63" s="2">
        <f t="shared" si="2"/>
        <v>2414357.9420991968</v>
      </c>
      <c r="C63" s="2">
        <f>PMT('Home Loan'!$B$9,'Home Loan'!$B$10,-'Home Loan'!$B$4)</f>
        <v>30427.997524853548</v>
      </c>
      <c r="D63" s="2">
        <f>IPMT('Home Loan'!$B$9,A63,'Home Loan'!$B$10,-'Home Loan'!$B$4)</f>
        <v>18107.684565743981</v>
      </c>
      <c r="E63" s="2">
        <f t="shared" si="3"/>
        <v>12320.312959109568</v>
      </c>
      <c r="F63" s="2">
        <f t="shared" si="0"/>
        <v>2402037.6291400874</v>
      </c>
    </row>
    <row r="64" spans="1:6" x14ac:dyDescent="0.25">
      <c r="A64" s="42">
        <f t="shared" si="1"/>
        <v>61</v>
      </c>
      <c r="B64" s="2">
        <f t="shared" si="2"/>
        <v>2402037.6291400874</v>
      </c>
      <c r="C64" s="2">
        <f>PMT('Home Loan'!$B$9,'Home Loan'!$B$10,-'Home Loan'!$B$4)</f>
        <v>30427.997524853548</v>
      </c>
      <c r="D64" s="2">
        <f>IPMT('Home Loan'!$B$9,A64,'Home Loan'!$B$10,-'Home Loan'!$B$4)</f>
        <v>18015.282218550663</v>
      </c>
      <c r="E64" s="2">
        <f t="shared" si="3"/>
        <v>12412.715306302885</v>
      </c>
      <c r="F64" s="2">
        <f t="shared" si="0"/>
        <v>2389624.9138337844</v>
      </c>
    </row>
    <row r="65" spans="1:6" x14ac:dyDescent="0.25">
      <c r="A65" s="42">
        <f t="shared" si="1"/>
        <v>62</v>
      </c>
      <c r="B65" s="2">
        <f t="shared" si="2"/>
        <v>2389624.9138337844</v>
      </c>
      <c r="C65" s="2">
        <f>PMT('Home Loan'!$B$9,'Home Loan'!$B$10,-'Home Loan'!$B$4)</f>
        <v>30427.997524853548</v>
      </c>
      <c r="D65" s="2">
        <f>IPMT('Home Loan'!$B$9,A65,'Home Loan'!$B$10,-'Home Loan'!$B$4)</f>
        <v>17922.186853753388</v>
      </c>
      <c r="E65" s="2">
        <f t="shared" si="3"/>
        <v>12505.81067110016</v>
      </c>
      <c r="F65" s="2">
        <f t="shared" si="0"/>
        <v>2377119.1031626845</v>
      </c>
    </row>
    <row r="66" spans="1:6" x14ac:dyDescent="0.25">
      <c r="A66" s="42">
        <f t="shared" si="1"/>
        <v>63</v>
      </c>
      <c r="B66" s="2">
        <f t="shared" si="2"/>
        <v>2377119.1031626845</v>
      </c>
      <c r="C66" s="2">
        <f>PMT('Home Loan'!$B$9,'Home Loan'!$B$10,-'Home Loan'!$B$4)</f>
        <v>30427.997524853548</v>
      </c>
      <c r="D66" s="2">
        <f>IPMT('Home Loan'!$B$9,A66,'Home Loan'!$B$10,-'Home Loan'!$B$4)</f>
        <v>17828.393273720136</v>
      </c>
      <c r="E66" s="2">
        <f t="shared" si="3"/>
        <v>12599.604251133413</v>
      </c>
      <c r="F66" s="2">
        <f t="shared" si="0"/>
        <v>2364519.4989115512</v>
      </c>
    </row>
    <row r="67" spans="1:6" x14ac:dyDescent="0.25">
      <c r="A67" s="42">
        <f t="shared" si="1"/>
        <v>64</v>
      </c>
      <c r="B67" s="2">
        <f t="shared" si="2"/>
        <v>2364519.4989115512</v>
      </c>
      <c r="C67" s="2">
        <f>PMT('Home Loan'!$B$9,'Home Loan'!$B$10,-'Home Loan'!$B$4)</f>
        <v>30427.997524853548</v>
      </c>
      <c r="D67" s="2">
        <f>IPMT('Home Loan'!$B$9,A67,'Home Loan'!$B$10,-'Home Loan'!$B$4)</f>
        <v>17733.896241836635</v>
      </c>
      <c r="E67" s="2">
        <f t="shared" si="3"/>
        <v>12694.101283016913</v>
      </c>
      <c r="F67" s="2">
        <f t="shared" si="0"/>
        <v>2351825.3976285341</v>
      </c>
    </row>
    <row r="68" spans="1:6" x14ac:dyDescent="0.25">
      <c r="A68" s="42">
        <f t="shared" si="1"/>
        <v>65</v>
      </c>
      <c r="B68" s="2">
        <f t="shared" si="2"/>
        <v>2351825.3976285341</v>
      </c>
      <c r="C68" s="2">
        <f>PMT('Home Loan'!$B$9,'Home Loan'!$B$10,-'Home Loan'!$B$4)</f>
        <v>30427.997524853548</v>
      </c>
      <c r="D68" s="2">
        <f>IPMT('Home Loan'!$B$9,A68,'Home Loan'!$B$10,-'Home Loan'!$B$4)</f>
        <v>17638.690482214006</v>
      </c>
      <c r="E68" s="2">
        <f t="shared" si="3"/>
        <v>12789.307042639542</v>
      </c>
      <c r="F68" s="2">
        <f t="shared" si="0"/>
        <v>2339036.0905858944</v>
      </c>
    </row>
    <row r="69" spans="1:6" x14ac:dyDescent="0.25">
      <c r="A69" s="42">
        <f t="shared" si="1"/>
        <v>66</v>
      </c>
      <c r="B69" s="2">
        <f t="shared" si="2"/>
        <v>2339036.0905858944</v>
      </c>
      <c r="C69" s="2">
        <f>PMT('Home Loan'!$B$9,'Home Loan'!$B$10,-'Home Loan'!$B$4)</f>
        <v>30427.997524853548</v>
      </c>
      <c r="D69" s="2">
        <f>IPMT('Home Loan'!$B$9,A69,'Home Loan'!$B$10,-'Home Loan'!$B$4)</f>
        <v>17542.770679394212</v>
      </c>
      <c r="E69" s="2">
        <f t="shared" si="3"/>
        <v>12885.226845459336</v>
      </c>
      <c r="F69" s="2">
        <f t="shared" ref="F69:F132" si="4">B69-E69</f>
        <v>2326150.8637404349</v>
      </c>
    </row>
    <row r="70" spans="1:6" x14ac:dyDescent="0.25">
      <c r="A70" s="42">
        <f t="shared" ref="A70:A133" si="5">A69+1</f>
        <v>67</v>
      </c>
      <c r="B70" s="2">
        <f t="shared" ref="B70:B133" si="6">F69</f>
        <v>2326150.8637404349</v>
      </c>
      <c r="C70" s="2">
        <f>PMT('Home Loan'!$B$9,'Home Loan'!$B$10,-'Home Loan'!$B$4)</f>
        <v>30427.997524853548</v>
      </c>
      <c r="D70" s="2">
        <f>IPMT('Home Loan'!$B$9,A70,'Home Loan'!$B$10,-'Home Loan'!$B$4)</f>
        <v>17446.13147805327</v>
      </c>
      <c r="E70" s="2">
        <f t="shared" ref="E70:E133" si="7">C70-D70</f>
        <v>12981.866046800278</v>
      </c>
      <c r="F70" s="2">
        <f t="shared" si="4"/>
        <v>2313168.9976936346</v>
      </c>
    </row>
    <row r="71" spans="1:6" x14ac:dyDescent="0.25">
      <c r="A71" s="42">
        <f t="shared" si="5"/>
        <v>68</v>
      </c>
      <c r="B71" s="2">
        <f t="shared" si="6"/>
        <v>2313168.9976936346</v>
      </c>
      <c r="C71" s="2">
        <f>PMT('Home Loan'!$B$9,'Home Loan'!$B$10,-'Home Loan'!$B$4)</f>
        <v>30427.997524853548</v>
      </c>
      <c r="D71" s="2">
        <f>IPMT('Home Loan'!$B$9,A71,'Home Loan'!$B$10,-'Home Loan'!$B$4)</f>
        <v>17348.767482702267</v>
      </c>
      <c r="E71" s="2">
        <f t="shared" si="7"/>
        <v>13079.230042151281</v>
      </c>
      <c r="F71" s="2">
        <f t="shared" si="4"/>
        <v>2300089.7676514834</v>
      </c>
    </row>
    <row r="72" spans="1:6" x14ac:dyDescent="0.25">
      <c r="A72" s="42">
        <f t="shared" si="5"/>
        <v>69</v>
      </c>
      <c r="B72" s="2">
        <f t="shared" si="6"/>
        <v>2300089.7676514834</v>
      </c>
      <c r="C72" s="2">
        <f>PMT('Home Loan'!$B$9,'Home Loan'!$B$10,-'Home Loan'!$B$4)</f>
        <v>30427.997524853548</v>
      </c>
      <c r="D72" s="2">
        <f>IPMT('Home Loan'!$B$9,A72,'Home Loan'!$B$10,-'Home Loan'!$B$4)</f>
        <v>17250.673257386134</v>
      </c>
      <c r="E72" s="2">
        <f t="shared" si="7"/>
        <v>13177.324267467415</v>
      </c>
      <c r="F72" s="2">
        <f t="shared" si="4"/>
        <v>2286912.4433840159</v>
      </c>
    </row>
    <row r="73" spans="1:6" x14ac:dyDescent="0.25">
      <c r="A73" s="42">
        <f t="shared" si="5"/>
        <v>70</v>
      </c>
      <c r="B73" s="2">
        <f t="shared" si="6"/>
        <v>2286912.4433840159</v>
      </c>
      <c r="C73" s="2">
        <f>PMT('Home Loan'!$B$9,'Home Loan'!$B$10,-'Home Loan'!$B$4)</f>
        <v>30427.997524853548</v>
      </c>
      <c r="D73" s="2">
        <f>IPMT('Home Loan'!$B$9,A73,'Home Loan'!$B$10,-'Home Loan'!$B$4)</f>
        <v>17151.843325380127</v>
      </c>
      <c r="E73" s="2">
        <f t="shared" si="7"/>
        <v>13276.154199473422</v>
      </c>
      <c r="F73" s="2">
        <f t="shared" si="4"/>
        <v>2273636.2891845424</v>
      </c>
    </row>
    <row r="74" spans="1:6" x14ac:dyDescent="0.25">
      <c r="A74" s="42">
        <f t="shared" si="5"/>
        <v>71</v>
      </c>
      <c r="B74" s="2">
        <f t="shared" si="6"/>
        <v>2273636.2891845424</v>
      </c>
      <c r="C74" s="2">
        <f>PMT('Home Loan'!$B$9,'Home Loan'!$B$10,-'Home Loan'!$B$4)</f>
        <v>30427.997524853548</v>
      </c>
      <c r="D74" s="2">
        <f>IPMT('Home Loan'!$B$9,A74,'Home Loan'!$B$10,-'Home Loan'!$B$4)</f>
        <v>17052.272168884076</v>
      </c>
      <c r="E74" s="2">
        <f t="shared" si="7"/>
        <v>13375.725355969473</v>
      </c>
      <c r="F74" s="2">
        <f t="shared" si="4"/>
        <v>2260260.5638285731</v>
      </c>
    </row>
    <row r="75" spans="1:6" x14ac:dyDescent="0.25">
      <c r="A75" s="42">
        <f t="shared" si="5"/>
        <v>72</v>
      </c>
      <c r="B75" s="2">
        <f t="shared" si="6"/>
        <v>2260260.5638285731</v>
      </c>
      <c r="C75" s="2">
        <f>PMT('Home Loan'!$B$9,'Home Loan'!$B$10,-'Home Loan'!$B$4)</f>
        <v>30427.997524853548</v>
      </c>
      <c r="D75" s="2">
        <f>IPMT('Home Loan'!$B$9,A75,'Home Loan'!$B$10,-'Home Loan'!$B$4)</f>
        <v>16951.954228714305</v>
      </c>
      <c r="E75" s="2">
        <f t="shared" si="7"/>
        <v>13476.043296139243</v>
      </c>
      <c r="F75" s="2">
        <f t="shared" si="4"/>
        <v>2246784.5205324339</v>
      </c>
    </row>
    <row r="76" spans="1:6" x14ac:dyDescent="0.25">
      <c r="A76" s="42">
        <f t="shared" si="5"/>
        <v>73</v>
      </c>
      <c r="B76" s="2">
        <f t="shared" si="6"/>
        <v>2246784.5205324339</v>
      </c>
      <c r="C76" s="2">
        <f>PMT('Home Loan'!$B$9,'Home Loan'!$B$10,-'Home Loan'!$B$4)</f>
        <v>30427.997524853548</v>
      </c>
      <c r="D76" s="2">
        <f>IPMT('Home Loan'!$B$9,A76,'Home Loan'!$B$10,-'Home Loan'!$B$4)</f>
        <v>16850.883903993261</v>
      </c>
      <c r="E76" s="2">
        <f t="shared" si="7"/>
        <v>13577.113620860287</v>
      </c>
      <c r="F76" s="2">
        <f t="shared" si="4"/>
        <v>2233207.4069115734</v>
      </c>
    </row>
    <row r="77" spans="1:6" x14ac:dyDescent="0.25">
      <c r="A77" s="42">
        <f t="shared" si="5"/>
        <v>74</v>
      </c>
      <c r="B77" s="2">
        <f t="shared" si="6"/>
        <v>2233207.4069115734</v>
      </c>
      <c r="C77" s="2">
        <f>PMT('Home Loan'!$B$9,'Home Loan'!$B$10,-'Home Loan'!$B$4)</f>
        <v>30427.997524853548</v>
      </c>
      <c r="D77" s="2">
        <f>IPMT('Home Loan'!$B$9,A77,'Home Loan'!$B$10,-'Home Loan'!$B$4)</f>
        <v>16749.055551836806</v>
      </c>
      <c r="E77" s="2">
        <f t="shared" si="7"/>
        <v>13678.941973016743</v>
      </c>
      <c r="F77" s="2">
        <f t="shared" si="4"/>
        <v>2219528.4649385568</v>
      </c>
    </row>
    <row r="78" spans="1:6" x14ac:dyDescent="0.25">
      <c r="A78" s="42">
        <f t="shared" si="5"/>
        <v>75</v>
      </c>
      <c r="B78" s="2">
        <f t="shared" si="6"/>
        <v>2219528.4649385568</v>
      </c>
      <c r="C78" s="2">
        <f>PMT('Home Loan'!$B$9,'Home Loan'!$B$10,-'Home Loan'!$B$4)</f>
        <v>30427.997524853548</v>
      </c>
      <c r="D78" s="2">
        <f>IPMT('Home Loan'!$B$9,A78,'Home Loan'!$B$10,-'Home Loan'!$B$4)</f>
        <v>16646.463487039182</v>
      </c>
      <c r="E78" s="2">
        <f t="shared" si="7"/>
        <v>13781.534037814366</v>
      </c>
      <c r="F78" s="2">
        <f t="shared" si="4"/>
        <v>2205746.9309007423</v>
      </c>
    </row>
    <row r="79" spans="1:6" x14ac:dyDescent="0.25">
      <c r="A79" s="42">
        <f t="shared" si="5"/>
        <v>76</v>
      </c>
      <c r="B79" s="2">
        <f t="shared" si="6"/>
        <v>2205746.9309007423</v>
      </c>
      <c r="C79" s="2">
        <f>PMT('Home Loan'!$B$9,'Home Loan'!$B$10,-'Home Loan'!$B$4)</f>
        <v>30427.997524853548</v>
      </c>
      <c r="D79" s="2">
        <f>IPMT('Home Loan'!$B$9,A79,'Home Loan'!$B$10,-'Home Loan'!$B$4)</f>
        <v>16543.101981755572</v>
      </c>
      <c r="E79" s="2">
        <f t="shared" si="7"/>
        <v>13884.895543097977</v>
      </c>
      <c r="F79" s="2">
        <f t="shared" si="4"/>
        <v>2191862.0353576443</v>
      </c>
    </row>
    <row r="80" spans="1:6" x14ac:dyDescent="0.25">
      <c r="A80" s="42">
        <f t="shared" si="5"/>
        <v>77</v>
      </c>
      <c r="B80" s="2">
        <f t="shared" si="6"/>
        <v>2191862.0353576443</v>
      </c>
      <c r="C80" s="2">
        <f>PMT('Home Loan'!$B$9,'Home Loan'!$B$10,-'Home Loan'!$B$4)</f>
        <v>30427.997524853548</v>
      </c>
      <c r="D80" s="2">
        <f>IPMT('Home Loan'!$B$9,A80,'Home Loan'!$B$10,-'Home Loan'!$B$4)</f>
        <v>16438.965265182338</v>
      </c>
      <c r="E80" s="2">
        <f t="shared" si="7"/>
        <v>13989.03225967121</v>
      </c>
      <c r="F80" s="2">
        <f t="shared" si="4"/>
        <v>2177873.0030979733</v>
      </c>
    </row>
    <row r="81" spans="1:6" x14ac:dyDescent="0.25">
      <c r="A81" s="42">
        <f t="shared" si="5"/>
        <v>78</v>
      </c>
      <c r="B81" s="2">
        <f t="shared" si="6"/>
        <v>2177873.0030979733</v>
      </c>
      <c r="C81" s="2">
        <f>PMT('Home Loan'!$B$9,'Home Loan'!$B$10,-'Home Loan'!$B$4)</f>
        <v>30427.997524853548</v>
      </c>
      <c r="D81" s="2">
        <f>IPMT('Home Loan'!$B$9,A81,'Home Loan'!$B$10,-'Home Loan'!$B$4)</f>
        <v>16334.047523234804</v>
      </c>
      <c r="E81" s="2">
        <f t="shared" si="7"/>
        <v>14093.950001618745</v>
      </c>
      <c r="F81" s="2">
        <f t="shared" si="4"/>
        <v>2163779.0530963545</v>
      </c>
    </row>
    <row r="82" spans="1:6" x14ac:dyDescent="0.25">
      <c r="A82" s="42">
        <f t="shared" si="5"/>
        <v>79</v>
      </c>
      <c r="B82" s="2">
        <f t="shared" si="6"/>
        <v>2163779.0530963545</v>
      </c>
      <c r="C82" s="2">
        <f>PMT('Home Loan'!$B$9,'Home Loan'!$B$10,-'Home Loan'!$B$4)</f>
        <v>30427.997524853548</v>
      </c>
      <c r="D82" s="2">
        <f>IPMT('Home Loan'!$B$9,A82,'Home Loan'!$B$10,-'Home Loan'!$B$4)</f>
        <v>16228.342898222665</v>
      </c>
      <c r="E82" s="2">
        <f t="shared" si="7"/>
        <v>14199.654626630883</v>
      </c>
      <c r="F82" s="2">
        <f t="shared" si="4"/>
        <v>2149579.3984697238</v>
      </c>
    </row>
    <row r="83" spans="1:6" x14ac:dyDescent="0.25">
      <c r="A83" s="42">
        <f t="shared" si="5"/>
        <v>80</v>
      </c>
      <c r="B83" s="2">
        <f t="shared" si="6"/>
        <v>2149579.3984697238</v>
      </c>
      <c r="C83" s="2">
        <f>PMT('Home Loan'!$B$9,'Home Loan'!$B$10,-'Home Loan'!$B$4)</f>
        <v>30427.997524853548</v>
      </c>
      <c r="D83" s="2">
        <f>IPMT('Home Loan'!$B$9,A83,'Home Loan'!$B$10,-'Home Loan'!$B$4)</f>
        <v>16121.845488522931</v>
      </c>
      <c r="E83" s="2">
        <f t="shared" si="7"/>
        <v>14306.152036330617</v>
      </c>
      <c r="F83" s="2">
        <f t="shared" si="4"/>
        <v>2135273.2464333931</v>
      </c>
    </row>
    <row r="84" spans="1:6" x14ac:dyDescent="0.25">
      <c r="A84" s="42">
        <f t="shared" si="5"/>
        <v>81</v>
      </c>
      <c r="B84" s="2">
        <f t="shared" si="6"/>
        <v>2135273.2464333931</v>
      </c>
      <c r="C84" s="2">
        <f>PMT('Home Loan'!$B$9,'Home Loan'!$B$10,-'Home Loan'!$B$4)</f>
        <v>30427.997524853548</v>
      </c>
      <c r="D84" s="2">
        <f>IPMT('Home Loan'!$B$9,A84,'Home Loan'!$B$10,-'Home Loan'!$B$4)</f>
        <v>16014.549348250452</v>
      </c>
      <c r="E84" s="2">
        <f t="shared" si="7"/>
        <v>14413.448176603097</v>
      </c>
      <c r="F84" s="2">
        <f t="shared" si="4"/>
        <v>2120859.7982567898</v>
      </c>
    </row>
    <row r="85" spans="1:6" x14ac:dyDescent="0.25">
      <c r="A85" s="42">
        <f t="shared" si="5"/>
        <v>82</v>
      </c>
      <c r="B85" s="2">
        <f t="shared" si="6"/>
        <v>2120859.7982567898</v>
      </c>
      <c r="C85" s="2">
        <f>PMT('Home Loan'!$B$9,'Home Loan'!$B$10,-'Home Loan'!$B$4)</f>
        <v>30427.997524853548</v>
      </c>
      <c r="D85" s="2">
        <f>IPMT('Home Loan'!$B$9,A85,'Home Loan'!$B$10,-'Home Loan'!$B$4)</f>
        <v>15906.44848692593</v>
      </c>
      <c r="E85" s="2">
        <f t="shared" si="7"/>
        <v>14521.549037927618</v>
      </c>
      <c r="F85" s="2">
        <f t="shared" si="4"/>
        <v>2106338.249218862</v>
      </c>
    </row>
    <row r="86" spans="1:6" x14ac:dyDescent="0.25">
      <c r="A86" s="42">
        <f t="shared" si="5"/>
        <v>83</v>
      </c>
      <c r="B86" s="2">
        <f t="shared" si="6"/>
        <v>2106338.249218862</v>
      </c>
      <c r="C86" s="2">
        <f>PMT('Home Loan'!$B$9,'Home Loan'!$B$10,-'Home Loan'!$B$4)</f>
        <v>30427.997524853548</v>
      </c>
      <c r="D86" s="2">
        <f>IPMT('Home Loan'!$B$9,A86,'Home Loan'!$B$10,-'Home Loan'!$B$4)</f>
        <v>15797.536869141471</v>
      </c>
      <c r="E86" s="2">
        <f t="shared" si="7"/>
        <v>14630.460655712077</v>
      </c>
      <c r="F86" s="2">
        <f t="shared" si="4"/>
        <v>2091707.78856315</v>
      </c>
    </row>
    <row r="87" spans="1:6" x14ac:dyDescent="0.25">
      <c r="A87" s="42">
        <f t="shared" si="5"/>
        <v>84</v>
      </c>
      <c r="B87" s="2">
        <f t="shared" si="6"/>
        <v>2091707.78856315</v>
      </c>
      <c r="C87" s="2">
        <f>PMT('Home Loan'!$B$9,'Home Loan'!$B$10,-'Home Loan'!$B$4)</f>
        <v>30427.997524853548</v>
      </c>
      <c r="D87" s="2">
        <f>IPMT('Home Loan'!$B$9,A87,'Home Loan'!$B$10,-'Home Loan'!$B$4)</f>
        <v>15687.808414223633</v>
      </c>
      <c r="E87" s="2">
        <f t="shared" si="7"/>
        <v>14740.189110629915</v>
      </c>
      <c r="F87" s="2">
        <f t="shared" si="4"/>
        <v>2076967.59945252</v>
      </c>
    </row>
    <row r="88" spans="1:6" x14ac:dyDescent="0.25">
      <c r="A88" s="42">
        <f t="shared" si="5"/>
        <v>85</v>
      </c>
      <c r="B88" s="2">
        <f t="shared" si="6"/>
        <v>2076967.59945252</v>
      </c>
      <c r="C88" s="2">
        <f>PMT('Home Loan'!$B$9,'Home Loan'!$B$10,-'Home Loan'!$B$4)</f>
        <v>30427.997524853548</v>
      </c>
      <c r="D88" s="2">
        <f>IPMT('Home Loan'!$B$9,A88,'Home Loan'!$B$10,-'Home Loan'!$B$4)</f>
        <v>15577.256995893908</v>
      </c>
      <c r="E88" s="2">
        <f t="shared" si="7"/>
        <v>14850.740528959641</v>
      </c>
      <c r="F88" s="2">
        <f t="shared" si="4"/>
        <v>2062116.8589235605</v>
      </c>
    </row>
    <row r="89" spans="1:6" x14ac:dyDescent="0.25">
      <c r="A89" s="42">
        <f t="shared" si="5"/>
        <v>86</v>
      </c>
      <c r="B89" s="2">
        <f t="shared" si="6"/>
        <v>2062116.8589235605</v>
      </c>
      <c r="C89" s="2">
        <f>PMT('Home Loan'!$B$9,'Home Loan'!$B$10,-'Home Loan'!$B$4)</f>
        <v>30427.997524853548</v>
      </c>
      <c r="D89" s="2">
        <f>IPMT('Home Loan'!$B$9,A89,'Home Loan'!$B$10,-'Home Loan'!$B$4)</f>
        <v>15465.87644192671</v>
      </c>
      <c r="E89" s="2">
        <f t="shared" si="7"/>
        <v>14962.121082926838</v>
      </c>
      <c r="F89" s="2">
        <f t="shared" si="4"/>
        <v>2047154.7378406336</v>
      </c>
    </row>
    <row r="90" spans="1:6" x14ac:dyDescent="0.25">
      <c r="A90" s="42">
        <f t="shared" si="5"/>
        <v>87</v>
      </c>
      <c r="B90" s="2">
        <f t="shared" si="6"/>
        <v>2047154.7378406336</v>
      </c>
      <c r="C90" s="2">
        <f>PMT('Home Loan'!$B$9,'Home Loan'!$B$10,-'Home Loan'!$B$4)</f>
        <v>30427.997524853548</v>
      </c>
      <c r="D90" s="2">
        <f>IPMT('Home Loan'!$B$9,A90,'Home Loan'!$B$10,-'Home Loan'!$B$4)</f>
        <v>15353.660533804759</v>
      </c>
      <c r="E90" s="2">
        <f t="shared" si="7"/>
        <v>15074.336991048789</v>
      </c>
      <c r="F90" s="2">
        <f t="shared" si="4"/>
        <v>2032080.4008495847</v>
      </c>
    </row>
    <row r="91" spans="1:6" x14ac:dyDescent="0.25">
      <c r="A91" s="42">
        <f t="shared" si="5"/>
        <v>88</v>
      </c>
      <c r="B91" s="2">
        <f t="shared" si="6"/>
        <v>2032080.4008495847</v>
      </c>
      <c r="C91" s="2">
        <f>PMT('Home Loan'!$B$9,'Home Loan'!$B$10,-'Home Loan'!$B$4)</f>
        <v>30427.997524853548</v>
      </c>
      <c r="D91" s="2">
        <f>IPMT('Home Loan'!$B$9,A91,'Home Loan'!$B$10,-'Home Loan'!$B$4)</f>
        <v>15240.603006371894</v>
      </c>
      <c r="E91" s="2">
        <f t="shared" si="7"/>
        <v>15187.394518481655</v>
      </c>
      <c r="F91" s="2">
        <f t="shared" si="4"/>
        <v>2016893.0063311032</v>
      </c>
    </row>
    <row r="92" spans="1:6" x14ac:dyDescent="0.25">
      <c r="A92" s="42">
        <f t="shared" si="5"/>
        <v>89</v>
      </c>
      <c r="B92" s="2">
        <f t="shared" si="6"/>
        <v>2016893.0063311032</v>
      </c>
      <c r="C92" s="2">
        <f>PMT('Home Loan'!$B$9,'Home Loan'!$B$10,-'Home Loan'!$B$4)</f>
        <v>30427.997524853548</v>
      </c>
      <c r="D92" s="2">
        <f>IPMT('Home Loan'!$B$9,A92,'Home Loan'!$B$10,-'Home Loan'!$B$4)</f>
        <v>15126.69754748328</v>
      </c>
      <c r="E92" s="2">
        <f t="shared" si="7"/>
        <v>15301.299977370269</v>
      </c>
      <c r="F92" s="2">
        <f t="shared" si="4"/>
        <v>2001591.7063537329</v>
      </c>
    </row>
    <row r="93" spans="1:6" x14ac:dyDescent="0.25">
      <c r="A93" s="42">
        <f t="shared" si="5"/>
        <v>90</v>
      </c>
      <c r="B93" s="2">
        <f t="shared" si="6"/>
        <v>2001591.7063537329</v>
      </c>
      <c r="C93" s="2">
        <f>PMT('Home Loan'!$B$9,'Home Loan'!$B$10,-'Home Loan'!$B$4)</f>
        <v>30427.997524853548</v>
      </c>
      <c r="D93" s="2">
        <f>IPMT('Home Loan'!$B$9,A93,'Home Loan'!$B$10,-'Home Loan'!$B$4)</f>
        <v>15011.937797653007</v>
      </c>
      <c r="E93" s="2">
        <f t="shared" si="7"/>
        <v>15416.059727200542</v>
      </c>
      <c r="F93" s="2">
        <f t="shared" si="4"/>
        <v>1986175.6466265323</v>
      </c>
    </row>
    <row r="94" spans="1:6" x14ac:dyDescent="0.25">
      <c r="A94" s="42">
        <f t="shared" si="5"/>
        <v>91</v>
      </c>
      <c r="B94" s="2">
        <f t="shared" si="6"/>
        <v>1986175.6466265323</v>
      </c>
      <c r="C94" s="2">
        <f>PMT('Home Loan'!$B$9,'Home Loan'!$B$10,-'Home Loan'!$B$4)</f>
        <v>30427.997524853548</v>
      </c>
      <c r="D94" s="2">
        <f>IPMT('Home Loan'!$B$9,A94,'Home Loan'!$B$10,-'Home Loan'!$B$4)</f>
        <v>14896.317349699</v>
      </c>
      <c r="E94" s="2">
        <f t="shared" si="7"/>
        <v>15531.680175154548</v>
      </c>
      <c r="F94" s="2">
        <f t="shared" si="4"/>
        <v>1970643.9664513778</v>
      </c>
    </row>
    <row r="95" spans="1:6" x14ac:dyDescent="0.25">
      <c r="A95" s="42">
        <f t="shared" si="5"/>
        <v>92</v>
      </c>
      <c r="B95" s="2">
        <f t="shared" si="6"/>
        <v>1970643.9664513778</v>
      </c>
      <c r="C95" s="2">
        <f>PMT('Home Loan'!$B$9,'Home Loan'!$B$10,-'Home Loan'!$B$4)</f>
        <v>30427.997524853548</v>
      </c>
      <c r="D95" s="2">
        <f>IPMT('Home Loan'!$B$9,A95,'Home Loan'!$B$10,-'Home Loan'!$B$4)</f>
        <v>14779.829748385342</v>
      </c>
      <c r="E95" s="2">
        <f t="shared" si="7"/>
        <v>15648.167776468206</v>
      </c>
      <c r="F95" s="2">
        <f t="shared" si="4"/>
        <v>1954995.7986749096</v>
      </c>
    </row>
    <row r="96" spans="1:6" x14ac:dyDescent="0.25">
      <c r="A96" s="42">
        <f t="shared" si="5"/>
        <v>93</v>
      </c>
      <c r="B96" s="2">
        <f t="shared" si="6"/>
        <v>1954995.7986749096</v>
      </c>
      <c r="C96" s="2">
        <f>PMT('Home Loan'!$B$9,'Home Loan'!$B$10,-'Home Loan'!$B$4)</f>
        <v>30427.997524853548</v>
      </c>
      <c r="D96" s="2">
        <f>IPMT('Home Loan'!$B$9,A96,'Home Loan'!$B$10,-'Home Loan'!$B$4)</f>
        <v>14662.468490061829</v>
      </c>
      <c r="E96" s="2">
        <f t="shared" si="7"/>
        <v>15765.52903479172</v>
      </c>
      <c r="F96" s="2">
        <f t="shared" si="4"/>
        <v>1939230.2696401179</v>
      </c>
    </row>
    <row r="97" spans="1:6" x14ac:dyDescent="0.25">
      <c r="A97" s="42">
        <f t="shared" si="5"/>
        <v>94</v>
      </c>
      <c r="B97" s="2">
        <f t="shared" si="6"/>
        <v>1939230.2696401179</v>
      </c>
      <c r="C97" s="2">
        <f>PMT('Home Loan'!$B$9,'Home Loan'!$B$10,-'Home Loan'!$B$4)</f>
        <v>30427.997524853548</v>
      </c>
      <c r="D97" s="2">
        <f>IPMT('Home Loan'!$B$9,A97,'Home Loan'!$B$10,-'Home Loan'!$B$4)</f>
        <v>14544.227022300891</v>
      </c>
      <c r="E97" s="2">
        <f t="shared" si="7"/>
        <v>15883.770502552657</v>
      </c>
      <c r="F97" s="2">
        <f t="shared" si="4"/>
        <v>1923346.4991375653</v>
      </c>
    </row>
    <row r="98" spans="1:6" x14ac:dyDescent="0.25">
      <c r="A98" s="42">
        <f t="shared" si="5"/>
        <v>95</v>
      </c>
      <c r="B98" s="2">
        <f t="shared" si="6"/>
        <v>1923346.4991375653</v>
      </c>
      <c r="C98" s="2">
        <f>PMT('Home Loan'!$B$9,'Home Loan'!$B$10,-'Home Loan'!$B$4)</f>
        <v>30427.997524853548</v>
      </c>
      <c r="D98" s="2">
        <f>IPMT('Home Loan'!$B$9,A98,'Home Loan'!$B$10,-'Home Loan'!$B$4)</f>
        <v>14425.098743531744</v>
      </c>
      <c r="E98" s="2">
        <f t="shared" si="7"/>
        <v>16002.898781321805</v>
      </c>
      <c r="F98" s="2">
        <f t="shared" si="4"/>
        <v>1907343.6003562436</v>
      </c>
    </row>
    <row r="99" spans="1:6" x14ac:dyDescent="0.25">
      <c r="A99" s="42">
        <f t="shared" si="5"/>
        <v>96</v>
      </c>
      <c r="B99" s="2">
        <f t="shared" si="6"/>
        <v>1907343.6003562436</v>
      </c>
      <c r="C99" s="2">
        <f>PMT('Home Loan'!$B$9,'Home Loan'!$B$10,-'Home Loan'!$B$4)</f>
        <v>30427.997524853548</v>
      </c>
      <c r="D99" s="2">
        <f>IPMT('Home Loan'!$B$9,A99,'Home Loan'!$B$10,-'Home Loan'!$B$4)</f>
        <v>14305.077002671833</v>
      </c>
      <c r="E99" s="2">
        <f t="shared" si="7"/>
        <v>16122.920522181716</v>
      </c>
      <c r="F99" s="2">
        <f t="shared" si="4"/>
        <v>1891220.6798340618</v>
      </c>
    </row>
    <row r="100" spans="1:6" x14ac:dyDescent="0.25">
      <c r="A100" s="42">
        <f t="shared" si="5"/>
        <v>97</v>
      </c>
      <c r="B100" s="2">
        <f t="shared" si="6"/>
        <v>1891220.6798340618</v>
      </c>
      <c r="C100" s="2">
        <f>PMT('Home Loan'!$B$9,'Home Loan'!$B$10,-'Home Loan'!$B$4)</f>
        <v>30427.997524853548</v>
      </c>
      <c r="D100" s="2">
        <f>IPMT('Home Loan'!$B$9,A100,'Home Loan'!$B$10,-'Home Loan'!$B$4)</f>
        <v>14184.155098755471</v>
      </c>
      <c r="E100" s="2">
        <f t="shared" si="7"/>
        <v>16243.842426098077</v>
      </c>
      <c r="F100" s="2">
        <f t="shared" si="4"/>
        <v>1874976.8374079636</v>
      </c>
    </row>
    <row r="101" spans="1:6" x14ac:dyDescent="0.25">
      <c r="A101" s="42">
        <f t="shared" si="5"/>
        <v>98</v>
      </c>
      <c r="B101" s="2">
        <f t="shared" si="6"/>
        <v>1874976.8374079636</v>
      </c>
      <c r="C101" s="2">
        <f>PMT('Home Loan'!$B$9,'Home Loan'!$B$10,-'Home Loan'!$B$4)</f>
        <v>30427.997524853548</v>
      </c>
      <c r="D101" s="2">
        <f>IPMT('Home Loan'!$B$9,A101,'Home Loan'!$B$10,-'Home Loan'!$B$4)</f>
        <v>14062.326280559733</v>
      </c>
      <c r="E101" s="2">
        <f t="shared" si="7"/>
        <v>16365.671244293815</v>
      </c>
      <c r="F101" s="2">
        <f t="shared" si="4"/>
        <v>1858611.1661636697</v>
      </c>
    </row>
    <row r="102" spans="1:6" x14ac:dyDescent="0.25">
      <c r="A102" s="42">
        <f t="shared" si="5"/>
        <v>99</v>
      </c>
      <c r="B102" s="2">
        <f t="shared" si="6"/>
        <v>1858611.1661636697</v>
      </c>
      <c r="C102" s="2">
        <f>PMT('Home Loan'!$B$9,'Home Loan'!$B$10,-'Home Loan'!$B$4)</f>
        <v>30427.997524853548</v>
      </c>
      <c r="D102" s="2">
        <f>IPMT('Home Loan'!$B$9,A102,'Home Loan'!$B$10,-'Home Loan'!$B$4)</f>
        <v>13939.583746227532</v>
      </c>
      <c r="E102" s="2">
        <f t="shared" si="7"/>
        <v>16488.413778626018</v>
      </c>
      <c r="F102" s="2">
        <f t="shared" si="4"/>
        <v>1842122.7523850435</v>
      </c>
    </row>
    <row r="103" spans="1:6" x14ac:dyDescent="0.25">
      <c r="A103" s="42">
        <f t="shared" si="5"/>
        <v>100</v>
      </c>
      <c r="B103" s="2">
        <f t="shared" si="6"/>
        <v>1842122.7523850435</v>
      </c>
      <c r="C103" s="2">
        <f>PMT('Home Loan'!$B$9,'Home Loan'!$B$10,-'Home Loan'!$B$4)</f>
        <v>30427.997524853548</v>
      </c>
      <c r="D103" s="2">
        <f>IPMT('Home Loan'!$B$9,A103,'Home Loan'!$B$10,-'Home Loan'!$B$4)</f>
        <v>13815.920642887835</v>
      </c>
      <c r="E103" s="2">
        <f t="shared" si="7"/>
        <v>16612.076881965713</v>
      </c>
      <c r="F103" s="2">
        <f t="shared" si="4"/>
        <v>1825510.6755030779</v>
      </c>
    </row>
    <row r="104" spans="1:6" x14ac:dyDescent="0.25">
      <c r="A104" s="42">
        <f t="shared" si="5"/>
        <v>101</v>
      </c>
      <c r="B104" s="2">
        <f t="shared" si="6"/>
        <v>1825510.6755030779</v>
      </c>
      <c r="C104" s="2">
        <f>PMT('Home Loan'!$B$9,'Home Loan'!$B$10,-'Home Loan'!$B$4)</f>
        <v>30427.997524853548</v>
      </c>
      <c r="D104" s="2">
        <f>IPMT('Home Loan'!$B$9,A104,'Home Loan'!$B$10,-'Home Loan'!$B$4)</f>
        <v>13691.330066273089</v>
      </c>
      <c r="E104" s="2">
        <f t="shared" si="7"/>
        <v>16736.667458580458</v>
      </c>
      <c r="F104" s="2">
        <f t="shared" si="4"/>
        <v>1808774.0080444976</v>
      </c>
    </row>
    <row r="105" spans="1:6" x14ac:dyDescent="0.25">
      <c r="A105" s="42">
        <f t="shared" si="5"/>
        <v>102</v>
      </c>
      <c r="B105" s="2">
        <f t="shared" si="6"/>
        <v>1808774.0080444976</v>
      </c>
      <c r="C105" s="2">
        <f>PMT('Home Loan'!$B$9,'Home Loan'!$B$10,-'Home Loan'!$B$4)</f>
        <v>30427.997524853548</v>
      </c>
      <c r="D105" s="2">
        <f>IPMT('Home Loan'!$B$9,A105,'Home Loan'!$B$10,-'Home Loan'!$B$4)</f>
        <v>13565.80506033374</v>
      </c>
      <c r="E105" s="2">
        <f t="shared" si="7"/>
        <v>16862.192464519809</v>
      </c>
      <c r="F105" s="2">
        <f t="shared" si="4"/>
        <v>1791911.8155799778</v>
      </c>
    </row>
    <row r="106" spans="1:6" x14ac:dyDescent="0.25">
      <c r="A106" s="42">
        <f t="shared" si="5"/>
        <v>103</v>
      </c>
      <c r="B106" s="2">
        <f t="shared" si="6"/>
        <v>1791911.8155799778</v>
      </c>
      <c r="C106" s="2">
        <f>PMT('Home Loan'!$B$9,'Home Loan'!$B$10,-'Home Loan'!$B$4)</f>
        <v>30427.997524853548</v>
      </c>
      <c r="D106" s="2">
        <f>IPMT('Home Loan'!$B$9,A106,'Home Loan'!$B$10,-'Home Loan'!$B$4)</f>
        <v>13439.338616849842</v>
      </c>
      <c r="E106" s="2">
        <f t="shared" si="7"/>
        <v>16988.658908003708</v>
      </c>
      <c r="F106" s="2">
        <f t="shared" si="4"/>
        <v>1774923.1566719741</v>
      </c>
    </row>
    <row r="107" spans="1:6" x14ac:dyDescent="0.25">
      <c r="A107" s="42">
        <f t="shared" si="5"/>
        <v>104</v>
      </c>
      <c r="B107" s="2">
        <f t="shared" si="6"/>
        <v>1774923.1566719741</v>
      </c>
      <c r="C107" s="2">
        <f>PMT('Home Loan'!$B$9,'Home Loan'!$B$10,-'Home Loan'!$B$4)</f>
        <v>30427.997524853548</v>
      </c>
      <c r="D107" s="2">
        <f>IPMT('Home Loan'!$B$9,A107,'Home Loan'!$B$10,-'Home Loan'!$B$4)</f>
        <v>13311.923675039814</v>
      </c>
      <c r="E107" s="2">
        <f t="shared" si="7"/>
        <v>17116.073849813736</v>
      </c>
      <c r="F107" s="2">
        <f t="shared" si="4"/>
        <v>1757807.0828221603</v>
      </c>
    </row>
    <row r="108" spans="1:6" x14ac:dyDescent="0.25">
      <c r="A108" s="42">
        <f t="shared" si="5"/>
        <v>105</v>
      </c>
      <c r="B108" s="2">
        <f t="shared" si="6"/>
        <v>1757807.0828221603</v>
      </c>
      <c r="C108" s="2">
        <f>PMT('Home Loan'!$B$9,'Home Loan'!$B$10,-'Home Loan'!$B$4)</f>
        <v>30427.997524853548</v>
      </c>
      <c r="D108" s="2">
        <f>IPMT('Home Loan'!$B$9,A108,'Home Loan'!$B$10,-'Home Loan'!$B$4)</f>
        <v>13183.553121166209</v>
      </c>
      <c r="E108" s="2">
        <f t="shared" si="7"/>
        <v>17244.444403687339</v>
      </c>
      <c r="F108" s="2">
        <f t="shared" si="4"/>
        <v>1740562.6384184731</v>
      </c>
    </row>
    <row r="109" spans="1:6" x14ac:dyDescent="0.25">
      <c r="A109" s="42">
        <f t="shared" si="5"/>
        <v>106</v>
      </c>
      <c r="B109" s="2">
        <f t="shared" si="6"/>
        <v>1740562.6384184731</v>
      </c>
      <c r="C109" s="2">
        <f>PMT('Home Loan'!$B$9,'Home Loan'!$B$10,-'Home Loan'!$B$4)</f>
        <v>30427.997524853548</v>
      </c>
      <c r="D109" s="2">
        <f>IPMT('Home Loan'!$B$9,A109,'Home Loan'!$B$10,-'Home Loan'!$B$4)</f>
        <v>13054.219788138555</v>
      </c>
      <c r="E109" s="2">
        <f t="shared" si="7"/>
        <v>17373.777736714994</v>
      </c>
      <c r="F109" s="2">
        <f t="shared" si="4"/>
        <v>1723188.860681758</v>
      </c>
    </row>
    <row r="110" spans="1:6" x14ac:dyDescent="0.25">
      <c r="A110" s="42">
        <f t="shared" si="5"/>
        <v>107</v>
      </c>
      <c r="B110" s="2">
        <f t="shared" si="6"/>
        <v>1723188.860681758</v>
      </c>
      <c r="C110" s="2">
        <f>PMT('Home Loan'!$B$9,'Home Loan'!$B$10,-'Home Loan'!$B$4)</f>
        <v>30427.997524853548</v>
      </c>
      <c r="D110" s="2">
        <f>IPMT('Home Loan'!$B$9,A110,'Home Loan'!$B$10,-'Home Loan'!$B$4)</f>
        <v>12923.916455113193</v>
      </c>
      <c r="E110" s="2">
        <f t="shared" si="7"/>
        <v>17504.081069740358</v>
      </c>
      <c r="F110" s="2">
        <f t="shared" si="4"/>
        <v>1705684.7796120176</v>
      </c>
    </row>
    <row r="111" spans="1:6" x14ac:dyDescent="0.25">
      <c r="A111" s="42">
        <f t="shared" si="5"/>
        <v>108</v>
      </c>
      <c r="B111" s="2">
        <f t="shared" si="6"/>
        <v>1705684.7796120176</v>
      </c>
      <c r="C111" s="2">
        <f>PMT('Home Loan'!$B$9,'Home Loan'!$B$10,-'Home Loan'!$B$4)</f>
        <v>30427.997524853548</v>
      </c>
      <c r="D111" s="2">
        <f>IPMT('Home Loan'!$B$9,A111,'Home Loan'!$B$10,-'Home Loan'!$B$4)</f>
        <v>12792.63584709014</v>
      </c>
      <c r="E111" s="2">
        <f t="shared" si="7"/>
        <v>17635.361677763409</v>
      </c>
      <c r="F111" s="2">
        <f t="shared" si="4"/>
        <v>1688049.417934254</v>
      </c>
    </row>
    <row r="112" spans="1:6" x14ac:dyDescent="0.25">
      <c r="A112" s="42">
        <f t="shared" si="5"/>
        <v>109</v>
      </c>
      <c r="B112" s="2">
        <f t="shared" si="6"/>
        <v>1688049.417934254</v>
      </c>
      <c r="C112" s="2">
        <f>PMT('Home Loan'!$B$9,'Home Loan'!$B$10,-'Home Loan'!$B$4)</f>
        <v>30427.997524853548</v>
      </c>
      <c r="D112" s="2">
        <f>IPMT('Home Loan'!$B$9,A112,'Home Loan'!$B$10,-'Home Loan'!$B$4)</f>
        <v>12660.370634506911</v>
      </c>
      <c r="E112" s="2">
        <f t="shared" si="7"/>
        <v>17767.626890346637</v>
      </c>
      <c r="F112" s="2">
        <f t="shared" si="4"/>
        <v>1670281.7910439074</v>
      </c>
    </row>
    <row r="113" spans="1:6" x14ac:dyDescent="0.25">
      <c r="A113" s="42">
        <f t="shared" si="5"/>
        <v>110</v>
      </c>
      <c r="B113" s="2">
        <f t="shared" si="6"/>
        <v>1670281.7910439074</v>
      </c>
      <c r="C113" s="2">
        <f>PMT('Home Loan'!$B$9,'Home Loan'!$B$10,-'Home Loan'!$B$4)</f>
        <v>30427.997524853548</v>
      </c>
      <c r="D113" s="2">
        <f>IPMT('Home Loan'!$B$9,A113,'Home Loan'!$B$10,-'Home Loan'!$B$4)</f>
        <v>12527.113432829314</v>
      </c>
      <c r="E113" s="2">
        <f t="shared" si="7"/>
        <v>17900.884092024236</v>
      </c>
      <c r="F113" s="2">
        <f t="shared" si="4"/>
        <v>1652380.9069518831</v>
      </c>
    </row>
    <row r="114" spans="1:6" x14ac:dyDescent="0.25">
      <c r="A114" s="42">
        <f t="shared" si="5"/>
        <v>111</v>
      </c>
      <c r="B114" s="2">
        <f t="shared" si="6"/>
        <v>1652380.9069518831</v>
      </c>
      <c r="C114" s="2">
        <f>PMT('Home Loan'!$B$9,'Home Loan'!$B$10,-'Home Loan'!$B$4)</f>
        <v>30427.997524853548</v>
      </c>
      <c r="D114" s="2">
        <f>IPMT('Home Loan'!$B$9,A114,'Home Loan'!$B$10,-'Home Loan'!$B$4)</f>
        <v>12392.856802139135</v>
      </c>
      <c r="E114" s="2">
        <f t="shared" si="7"/>
        <v>18035.140722714415</v>
      </c>
      <c r="F114" s="2">
        <f t="shared" si="4"/>
        <v>1634345.7662291687</v>
      </c>
    </row>
    <row r="115" spans="1:6" x14ac:dyDescent="0.25">
      <c r="A115" s="42">
        <f t="shared" si="5"/>
        <v>112</v>
      </c>
      <c r="B115" s="2">
        <f t="shared" si="6"/>
        <v>1634345.7662291687</v>
      </c>
      <c r="C115" s="2">
        <f>PMT('Home Loan'!$B$9,'Home Loan'!$B$10,-'Home Loan'!$B$4)</f>
        <v>30427.997524853548</v>
      </c>
      <c r="D115" s="2">
        <f>IPMT('Home Loan'!$B$9,A115,'Home Loan'!$B$10,-'Home Loan'!$B$4)</f>
        <v>12257.593246718774</v>
      </c>
      <c r="E115" s="2">
        <f t="shared" si="7"/>
        <v>18170.404278134774</v>
      </c>
      <c r="F115" s="2">
        <f t="shared" si="4"/>
        <v>1616175.3619510341</v>
      </c>
    </row>
    <row r="116" spans="1:6" x14ac:dyDescent="0.25">
      <c r="A116" s="42">
        <f t="shared" si="5"/>
        <v>113</v>
      </c>
      <c r="B116" s="2">
        <f t="shared" si="6"/>
        <v>1616175.3619510341</v>
      </c>
      <c r="C116" s="2">
        <f>PMT('Home Loan'!$B$9,'Home Loan'!$B$10,-'Home Loan'!$B$4)</f>
        <v>30427.997524853548</v>
      </c>
      <c r="D116" s="2">
        <f>IPMT('Home Loan'!$B$9,A116,'Home Loan'!$B$10,-'Home Loan'!$B$4)</f>
        <v>12121.315214632765</v>
      </c>
      <c r="E116" s="2">
        <f t="shared" si="7"/>
        <v>18306.682310220785</v>
      </c>
      <c r="F116" s="2">
        <f t="shared" si="4"/>
        <v>1597868.6796408133</v>
      </c>
    </row>
    <row r="117" spans="1:6" x14ac:dyDescent="0.25">
      <c r="A117" s="42">
        <f t="shared" si="5"/>
        <v>114</v>
      </c>
      <c r="B117" s="2">
        <f t="shared" si="6"/>
        <v>1597868.6796408133</v>
      </c>
      <c r="C117" s="2">
        <f>PMT('Home Loan'!$B$9,'Home Loan'!$B$10,-'Home Loan'!$B$4)</f>
        <v>30427.997524853548</v>
      </c>
      <c r="D117" s="2">
        <f>IPMT('Home Loan'!$B$9,A117,'Home Loan'!$B$10,-'Home Loan'!$B$4)</f>
        <v>11984.015097306108</v>
      </c>
      <c r="E117" s="2">
        <f t="shared" si="7"/>
        <v>18443.982427547438</v>
      </c>
      <c r="F117" s="2">
        <f t="shared" si="4"/>
        <v>1579424.6972132658</v>
      </c>
    </row>
    <row r="118" spans="1:6" x14ac:dyDescent="0.25">
      <c r="A118" s="42">
        <f t="shared" si="5"/>
        <v>115</v>
      </c>
      <c r="B118" s="2">
        <f t="shared" si="6"/>
        <v>1579424.6972132658</v>
      </c>
      <c r="C118" s="2">
        <f>PMT('Home Loan'!$B$9,'Home Loan'!$B$10,-'Home Loan'!$B$4)</f>
        <v>30427.997524853548</v>
      </c>
      <c r="D118" s="2">
        <f>IPMT('Home Loan'!$B$9,A118,'Home Loan'!$B$10,-'Home Loan'!$B$4)</f>
        <v>11845.685229099501</v>
      </c>
      <c r="E118" s="2">
        <f t="shared" si="7"/>
        <v>18582.312295754047</v>
      </c>
      <c r="F118" s="2">
        <f t="shared" si="4"/>
        <v>1560842.3849175118</v>
      </c>
    </row>
    <row r="119" spans="1:6" x14ac:dyDescent="0.25">
      <c r="A119" s="42">
        <f t="shared" si="5"/>
        <v>116</v>
      </c>
      <c r="B119" s="2">
        <f t="shared" si="6"/>
        <v>1560842.3849175118</v>
      </c>
      <c r="C119" s="2">
        <f>PMT('Home Loan'!$B$9,'Home Loan'!$B$10,-'Home Loan'!$B$4)</f>
        <v>30427.997524853548</v>
      </c>
      <c r="D119" s="2">
        <f>IPMT('Home Loan'!$B$9,A119,'Home Loan'!$B$10,-'Home Loan'!$B$4)</f>
        <v>11706.317886881345</v>
      </c>
      <c r="E119" s="2">
        <f t="shared" si="7"/>
        <v>18721.679637972204</v>
      </c>
      <c r="F119" s="2">
        <f t="shared" si="4"/>
        <v>1542120.7052795396</v>
      </c>
    </row>
    <row r="120" spans="1:6" x14ac:dyDescent="0.25">
      <c r="A120" s="42">
        <f t="shared" si="5"/>
        <v>117</v>
      </c>
      <c r="B120" s="2">
        <f t="shared" si="6"/>
        <v>1542120.7052795396</v>
      </c>
      <c r="C120" s="2">
        <f>PMT('Home Loan'!$B$9,'Home Loan'!$B$10,-'Home Loan'!$B$4)</f>
        <v>30427.997524853548</v>
      </c>
      <c r="D120" s="2">
        <f>IPMT('Home Loan'!$B$9,A120,'Home Loan'!$B$10,-'Home Loan'!$B$4)</f>
        <v>11565.905289596554</v>
      </c>
      <c r="E120" s="2">
        <f t="shared" si="7"/>
        <v>18862.092235256994</v>
      </c>
      <c r="F120" s="2">
        <f t="shared" si="4"/>
        <v>1523258.6130442827</v>
      </c>
    </row>
    <row r="121" spans="1:6" x14ac:dyDescent="0.25">
      <c r="A121" s="42">
        <f t="shared" si="5"/>
        <v>118</v>
      </c>
      <c r="B121" s="2">
        <f t="shared" si="6"/>
        <v>1523258.6130442827</v>
      </c>
      <c r="C121" s="2">
        <f>PMT('Home Loan'!$B$9,'Home Loan'!$B$10,-'Home Loan'!$B$4)</f>
        <v>30427.997524853548</v>
      </c>
      <c r="D121" s="2">
        <f>IPMT('Home Loan'!$B$9,A121,'Home Loan'!$B$10,-'Home Loan'!$B$4)</f>
        <v>11424.439597832126</v>
      </c>
      <c r="E121" s="2">
        <f t="shared" si="7"/>
        <v>19003.557927021422</v>
      </c>
      <c r="F121" s="2">
        <f t="shared" si="4"/>
        <v>1504255.0551172611</v>
      </c>
    </row>
    <row r="122" spans="1:6" x14ac:dyDescent="0.25">
      <c r="A122" s="42">
        <f t="shared" si="5"/>
        <v>119</v>
      </c>
      <c r="B122" s="2">
        <f t="shared" si="6"/>
        <v>1504255.0551172611</v>
      </c>
      <c r="C122" s="2">
        <f>PMT('Home Loan'!$B$9,'Home Loan'!$B$10,-'Home Loan'!$B$4)</f>
        <v>30427.997524853548</v>
      </c>
      <c r="D122" s="2">
        <f>IPMT('Home Loan'!$B$9,A122,'Home Loan'!$B$10,-'Home Loan'!$B$4)</f>
        <v>11281.912913379467</v>
      </c>
      <c r="E122" s="2">
        <f t="shared" si="7"/>
        <v>19146.084611474082</v>
      </c>
      <c r="F122" s="2">
        <f t="shared" si="4"/>
        <v>1485108.9705057871</v>
      </c>
    </row>
    <row r="123" spans="1:6" x14ac:dyDescent="0.25">
      <c r="A123" s="42">
        <f t="shared" si="5"/>
        <v>120</v>
      </c>
      <c r="B123" s="2">
        <f t="shared" si="6"/>
        <v>1485108.9705057871</v>
      </c>
      <c r="C123" s="2">
        <f>PMT('Home Loan'!$B$9,'Home Loan'!$B$10,-'Home Loan'!$B$4)</f>
        <v>30427.997524853548</v>
      </c>
      <c r="D123" s="2">
        <f>IPMT('Home Loan'!$B$9,A123,'Home Loan'!$B$10,-'Home Loan'!$B$4)</f>
        <v>11138.317278793411</v>
      </c>
      <c r="E123" s="2">
        <f t="shared" si="7"/>
        <v>19289.680246060139</v>
      </c>
      <c r="F123" s="2">
        <f t="shared" si="4"/>
        <v>1465819.2902597268</v>
      </c>
    </row>
    <row r="124" spans="1:6" x14ac:dyDescent="0.25">
      <c r="A124" s="42">
        <f t="shared" si="5"/>
        <v>121</v>
      </c>
      <c r="B124" s="2">
        <f t="shared" si="6"/>
        <v>1465819.2902597268</v>
      </c>
      <c r="C124" s="2">
        <f>PMT('Home Loan'!$B$9,'Home Loan'!$B$10,-'Home Loan'!$B$4)</f>
        <v>30427.997524853548</v>
      </c>
      <c r="D124" s="2">
        <f>IPMT('Home Loan'!$B$9,A124,'Home Loan'!$B$10,-'Home Loan'!$B$4)</f>
        <v>10993.644676947959</v>
      </c>
      <c r="E124" s="2">
        <f t="shared" si="7"/>
        <v>19434.352847905589</v>
      </c>
      <c r="F124" s="2">
        <f t="shared" si="4"/>
        <v>1446384.9374118212</v>
      </c>
    </row>
    <row r="125" spans="1:6" x14ac:dyDescent="0.25">
      <c r="A125" s="42">
        <f t="shared" si="5"/>
        <v>122</v>
      </c>
      <c r="B125" s="2">
        <f t="shared" si="6"/>
        <v>1446384.9374118212</v>
      </c>
      <c r="C125" s="2">
        <f>PMT('Home Loan'!$B$9,'Home Loan'!$B$10,-'Home Loan'!$B$4)</f>
        <v>30427.997524853548</v>
      </c>
      <c r="D125" s="2">
        <f>IPMT('Home Loan'!$B$9,A125,'Home Loan'!$B$10,-'Home Loan'!$B$4)</f>
        <v>10847.887030588667</v>
      </c>
      <c r="E125" s="2">
        <f t="shared" si="7"/>
        <v>19580.110494264882</v>
      </c>
      <c r="F125" s="2">
        <f t="shared" si="4"/>
        <v>1426804.8269175563</v>
      </c>
    </row>
    <row r="126" spans="1:6" x14ac:dyDescent="0.25">
      <c r="A126" s="42">
        <f t="shared" si="5"/>
        <v>123</v>
      </c>
      <c r="B126" s="2">
        <f t="shared" si="6"/>
        <v>1426804.8269175563</v>
      </c>
      <c r="C126" s="2">
        <f>PMT('Home Loan'!$B$9,'Home Loan'!$B$10,-'Home Loan'!$B$4)</f>
        <v>30427.997524853548</v>
      </c>
      <c r="D126" s="2">
        <f>IPMT('Home Loan'!$B$9,A126,'Home Loan'!$B$10,-'Home Loan'!$B$4)</f>
        <v>10701.036201881681</v>
      </c>
      <c r="E126" s="2">
        <f t="shared" si="7"/>
        <v>19726.961322971867</v>
      </c>
      <c r="F126" s="2">
        <f t="shared" si="4"/>
        <v>1407077.8655945845</v>
      </c>
    </row>
    <row r="127" spans="1:6" x14ac:dyDescent="0.25">
      <c r="A127" s="42">
        <f t="shared" si="5"/>
        <v>124</v>
      </c>
      <c r="B127" s="2">
        <f t="shared" si="6"/>
        <v>1407077.8655945845</v>
      </c>
      <c r="C127" s="2">
        <f>PMT('Home Loan'!$B$9,'Home Loan'!$B$10,-'Home Loan'!$B$4)</f>
        <v>30427.997524853548</v>
      </c>
      <c r="D127" s="2">
        <f>IPMT('Home Loan'!$B$9,A127,'Home Loan'!$B$10,-'Home Loan'!$B$4)</f>
        <v>10553.083991959393</v>
      </c>
      <c r="E127" s="2">
        <f t="shared" si="7"/>
        <v>19874.913532894156</v>
      </c>
      <c r="F127" s="2">
        <f t="shared" si="4"/>
        <v>1387202.9520616904</v>
      </c>
    </row>
    <row r="128" spans="1:6" x14ac:dyDescent="0.25">
      <c r="A128" s="42">
        <f t="shared" si="5"/>
        <v>125</v>
      </c>
      <c r="B128" s="2">
        <f t="shared" si="6"/>
        <v>1387202.9520616904</v>
      </c>
      <c r="C128" s="2">
        <f>PMT('Home Loan'!$B$9,'Home Loan'!$B$10,-'Home Loan'!$B$4)</f>
        <v>30427.997524853548</v>
      </c>
      <c r="D128" s="2">
        <f>IPMT('Home Loan'!$B$9,A128,'Home Loan'!$B$10,-'Home Loan'!$B$4)</f>
        <v>10404.022140462686</v>
      </c>
      <c r="E128" s="2">
        <f t="shared" si="7"/>
        <v>20023.975384390862</v>
      </c>
      <c r="F128" s="2">
        <f t="shared" si="4"/>
        <v>1367178.9766772995</v>
      </c>
    </row>
    <row r="129" spans="1:6" x14ac:dyDescent="0.25">
      <c r="A129" s="42">
        <f t="shared" si="5"/>
        <v>126</v>
      </c>
      <c r="B129" s="2">
        <f t="shared" si="6"/>
        <v>1367178.9766772995</v>
      </c>
      <c r="C129" s="2">
        <f>PMT('Home Loan'!$B$9,'Home Loan'!$B$10,-'Home Loan'!$B$4)</f>
        <v>30427.997524853548</v>
      </c>
      <c r="D129" s="2">
        <f>IPMT('Home Loan'!$B$9,A129,'Home Loan'!$B$10,-'Home Loan'!$B$4)</f>
        <v>10253.842325079757</v>
      </c>
      <c r="E129" s="2">
        <f t="shared" si="7"/>
        <v>20174.155199773792</v>
      </c>
      <c r="F129" s="2">
        <f t="shared" si="4"/>
        <v>1347004.8214775256</v>
      </c>
    </row>
    <row r="130" spans="1:6" x14ac:dyDescent="0.25">
      <c r="A130" s="42">
        <f t="shared" si="5"/>
        <v>127</v>
      </c>
      <c r="B130" s="2">
        <f t="shared" si="6"/>
        <v>1347004.8214775256</v>
      </c>
      <c r="C130" s="2">
        <f>PMT('Home Loan'!$B$9,'Home Loan'!$B$10,-'Home Loan'!$B$4)</f>
        <v>30427.997524853548</v>
      </c>
      <c r="D130" s="2">
        <f>IPMT('Home Loan'!$B$9,A130,'Home Loan'!$B$10,-'Home Loan'!$B$4)</f>
        <v>10102.536161081451</v>
      </c>
      <c r="E130" s="2">
        <f t="shared" si="7"/>
        <v>20325.461363772098</v>
      </c>
      <c r="F130" s="2">
        <f t="shared" si="4"/>
        <v>1326679.3601137535</v>
      </c>
    </row>
    <row r="131" spans="1:6" x14ac:dyDescent="0.25">
      <c r="A131" s="42">
        <f t="shared" si="5"/>
        <v>128</v>
      </c>
      <c r="B131" s="2">
        <f t="shared" si="6"/>
        <v>1326679.3601137535</v>
      </c>
      <c r="C131" s="2">
        <f>PMT('Home Loan'!$B$9,'Home Loan'!$B$10,-'Home Loan'!$B$4)</f>
        <v>30427.997524853548</v>
      </c>
      <c r="D131" s="2">
        <f>IPMT('Home Loan'!$B$9,A131,'Home Loan'!$B$10,-'Home Loan'!$B$4)</f>
        <v>9950.0952008531603</v>
      </c>
      <c r="E131" s="2">
        <f t="shared" si="7"/>
        <v>20477.902324000388</v>
      </c>
      <c r="F131" s="2">
        <f t="shared" si="4"/>
        <v>1306201.4577897531</v>
      </c>
    </row>
    <row r="132" spans="1:6" x14ac:dyDescent="0.25">
      <c r="A132" s="42">
        <f t="shared" si="5"/>
        <v>129</v>
      </c>
      <c r="B132" s="2">
        <f t="shared" si="6"/>
        <v>1306201.4577897531</v>
      </c>
      <c r="C132" s="2">
        <f>PMT('Home Loan'!$B$9,'Home Loan'!$B$10,-'Home Loan'!$B$4)</f>
        <v>30427.997524853548</v>
      </c>
      <c r="D132" s="2">
        <f>IPMT('Home Loan'!$B$9,A132,'Home Loan'!$B$10,-'Home Loan'!$B$4)</f>
        <v>9796.5109334231583</v>
      </c>
      <c r="E132" s="2">
        <f t="shared" si="7"/>
        <v>20631.486591430388</v>
      </c>
      <c r="F132" s="2">
        <f t="shared" si="4"/>
        <v>1285569.9711983227</v>
      </c>
    </row>
    <row r="133" spans="1:6" x14ac:dyDescent="0.25">
      <c r="A133" s="42">
        <f t="shared" si="5"/>
        <v>130</v>
      </c>
      <c r="B133" s="2">
        <f t="shared" si="6"/>
        <v>1285569.9711983227</v>
      </c>
      <c r="C133" s="2">
        <f>PMT('Home Loan'!$B$9,'Home Loan'!$B$10,-'Home Loan'!$B$4)</f>
        <v>30427.997524853548</v>
      </c>
      <c r="D133" s="2">
        <f>IPMT('Home Loan'!$B$9,A133,'Home Loan'!$B$10,-'Home Loan'!$B$4)</f>
        <v>9641.7747839874301</v>
      </c>
      <c r="E133" s="2">
        <f t="shared" si="7"/>
        <v>20786.22274086612</v>
      </c>
      <c r="F133" s="2">
        <f t="shared" ref="F133:F183" si="8">B133-E133</f>
        <v>1264783.7484574567</v>
      </c>
    </row>
    <row r="134" spans="1:6" x14ac:dyDescent="0.25">
      <c r="A134" s="42">
        <f t="shared" ref="A134:A197" si="9">A133+1</f>
        <v>131</v>
      </c>
      <c r="B134" s="2">
        <f t="shared" ref="B134:B183" si="10">F133</f>
        <v>1264783.7484574567</v>
      </c>
      <c r="C134" s="2">
        <f>PMT('Home Loan'!$B$9,'Home Loan'!$B$10,-'Home Loan'!$B$4)</f>
        <v>30427.997524853548</v>
      </c>
      <c r="D134" s="2">
        <f>IPMT('Home Loan'!$B$9,A134,'Home Loan'!$B$10,-'Home Loan'!$B$4)</f>
        <v>9485.8781134309338</v>
      </c>
      <c r="E134" s="2">
        <f t="shared" ref="E134:E183" si="11">C134-D134</f>
        <v>20942.119411422616</v>
      </c>
      <c r="F134" s="2">
        <f t="shared" si="8"/>
        <v>1243841.6290460341</v>
      </c>
    </row>
    <row r="135" spans="1:6" x14ac:dyDescent="0.25">
      <c r="A135" s="42">
        <f t="shared" si="9"/>
        <v>132</v>
      </c>
      <c r="B135" s="2">
        <f t="shared" si="10"/>
        <v>1243841.6290460341</v>
      </c>
      <c r="C135" s="2">
        <f>PMT('Home Loan'!$B$9,'Home Loan'!$B$10,-'Home Loan'!$B$4)</f>
        <v>30427.997524853548</v>
      </c>
      <c r="D135" s="2">
        <f>IPMT('Home Loan'!$B$9,A135,'Home Loan'!$B$10,-'Home Loan'!$B$4)</f>
        <v>9328.812217845265</v>
      </c>
      <c r="E135" s="2">
        <f t="shared" si="11"/>
        <v>21099.185307008283</v>
      </c>
      <c r="F135" s="2">
        <f t="shared" si="8"/>
        <v>1222742.4437390259</v>
      </c>
    </row>
    <row r="136" spans="1:6" x14ac:dyDescent="0.25">
      <c r="A136" s="42">
        <f t="shared" si="9"/>
        <v>133</v>
      </c>
      <c r="B136" s="2">
        <f t="shared" si="10"/>
        <v>1222742.4437390259</v>
      </c>
      <c r="C136" s="2">
        <f>PMT('Home Loan'!$B$9,'Home Loan'!$B$10,-'Home Loan'!$B$4)</f>
        <v>30427.997524853548</v>
      </c>
      <c r="D136" s="2">
        <f>IPMT('Home Loan'!$B$9,A136,'Home Loan'!$B$10,-'Home Loan'!$B$4)</f>
        <v>9170.5683280427002</v>
      </c>
      <c r="E136" s="2">
        <f t="shared" si="11"/>
        <v>21257.429196810848</v>
      </c>
      <c r="F136" s="2">
        <f t="shared" si="8"/>
        <v>1201485.014542215</v>
      </c>
    </row>
    <row r="137" spans="1:6" x14ac:dyDescent="0.25">
      <c r="A137" s="42">
        <f t="shared" si="9"/>
        <v>134</v>
      </c>
      <c r="B137" s="2">
        <f t="shared" si="10"/>
        <v>1201485.014542215</v>
      </c>
      <c r="C137" s="2">
        <f>PMT('Home Loan'!$B$9,'Home Loan'!$B$10,-'Home Loan'!$B$4)</f>
        <v>30427.997524853548</v>
      </c>
      <c r="D137" s="2">
        <f>IPMT('Home Loan'!$B$9,A137,'Home Loan'!$B$10,-'Home Loan'!$B$4)</f>
        <v>9011.1376090666217</v>
      </c>
      <c r="E137" s="2">
        <f t="shared" si="11"/>
        <v>21416.859915786925</v>
      </c>
      <c r="F137" s="2">
        <f t="shared" si="8"/>
        <v>1180068.1546264281</v>
      </c>
    </row>
    <row r="138" spans="1:6" x14ac:dyDescent="0.25">
      <c r="A138" s="42">
        <f t="shared" si="9"/>
        <v>135</v>
      </c>
      <c r="B138" s="2">
        <f t="shared" si="10"/>
        <v>1180068.1546264281</v>
      </c>
      <c r="C138" s="2">
        <f>PMT('Home Loan'!$B$9,'Home Loan'!$B$10,-'Home Loan'!$B$4)</f>
        <v>30427.997524853548</v>
      </c>
      <c r="D138" s="2">
        <f>IPMT('Home Loan'!$B$9,A138,'Home Loan'!$B$10,-'Home Loan'!$B$4)</f>
        <v>8850.5111596982169</v>
      </c>
      <c r="E138" s="2">
        <f t="shared" si="11"/>
        <v>21577.486365155331</v>
      </c>
      <c r="F138" s="2">
        <f t="shared" si="8"/>
        <v>1158490.6682612728</v>
      </c>
    </row>
    <row r="139" spans="1:6" x14ac:dyDescent="0.25">
      <c r="A139" s="42">
        <f t="shared" si="9"/>
        <v>136</v>
      </c>
      <c r="B139" s="2">
        <f t="shared" si="10"/>
        <v>1158490.6682612728</v>
      </c>
      <c r="C139" s="2">
        <f>PMT('Home Loan'!$B$9,'Home Loan'!$B$10,-'Home Loan'!$B$4)</f>
        <v>30427.997524853548</v>
      </c>
      <c r="D139" s="2">
        <f>IPMT('Home Loan'!$B$9,A139,'Home Loan'!$B$10,-'Home Loan'!$B$4)</f>
        <v>8688.6800119595537</v>
      </c>
      <c r="E139" s="2">
        <f t="shared" si="11"/>
        <v>21739.317512893995</v>
      </c>
      <c r="F139" s="2">
        <f t="shared" si="8"/>
        <v>1136751.3507483788</v>
      </c>
    </row>
    <row r="140" spans="1:6" x14ac:dyDescent="0.25">
      <c r="A140" s="42">
        <f t="shared" si="9"/>
        <v>137</v>
      </c>
      <c r="B140" s="2">
        <f t="shared" si="10"/>
        <v>1136751.3507483788</v>
      </c>
      <c r="C140" s="2">
        <f>PMT('Home Loan'!$B$9,'Home Loan'!$B$10,-'Home Loan'!$B$4)</f>
        <v>30427.997524853548</v>
      </c>
      <c r="D140" s="2">
        <f>IPMT('Home Loan'!$B$9,A140,'Home Loan'!$B$10,-'Home Loan'!$B$4)</f>
        <v>8525.6351306128472</v>
      </c>
      <c r="E140" s="2">
        <f t="shared" si="11"/>
        <v>21902.362394240699</v>
      </c>
      <c r="F140" s="2">
        <f t="shared" si="8"/>
        <v>1114848.9883541381</v>
      </c>
    </row>
    <row r="141" spans="1:6" x14ac:dyDescent="0.25">
      <c r="A141" s="42">
        <f t="shared" si="9"/>
        <v>138</v>
      </c>
      <c r="B141" s="2">
        <f t="shared" si="10"/>
        <v>1114848.9883541381</v>
      </c>
      <c r="C141" s="2">
        <f>PMT('Home Loan'!$B$9,'Home Loan'!$B$10,-'Home Loan'!$B$4)</f>
        <v>30427.997524853548</v>
      </c>
      <c r="D141" s="2">
        <f>IPMT('Home Loan'!$B$9,A141,'Home Loan'!$B$10,-'Home Loan'!$B$4)</f>
        <v>8361.3674126560436</v>
      </c>
      <c r="E141" s="2">
        <f t="shared" si="11"/>
        <v>22066.630112197505</v>
      </c>
      <c r="F141" s="2">
        <f t="shared" si="8"/>
        <v>1092782.3582419406</v>
      </c>
    </row>
    <row r="142" spans="1:6" x14ac:dyDescent="0.25">
      <c r="A142" s="42">
        <f t="shared" si="9"/>
        <v>139</v>
      </c>
      <c r="B142" s="2">
        <f t="shared" si="10"/>
        <v>1092782.3582419406</v>
      </c>
      <c r="C142" s="2">
        <f>PMT('Home Loan'!$B$9,'Home Loan'!$B$10,-'Home Loan'!$B$4)</f>
        <v>30427.997524853548</v>
      </c>
      <c r="D142" s="2">
        <f>IPMT('Home Loan'!$B$9,A142,'Home Loan'!$B$10,-'Home Loan'!$B$4)</f>
        <v>8195.8676868145612</v>
      </c>
      <c r="E142" s="2">
        <f t="shared" si="11"/>
        <v>22232.129838038985</v>
      </c>
      <c r="F142" s="2">
        <f t="shared" si="8"/>
        <v>1070550.2284039017</v>
      </c>
    </row>
    <row r="143" spans="1:6" x14ac:dyDescent="0.25">
      <c r="A143" s="42">
        <f t="shared" si="9"/>
        <v>140</v>
      </c>
      <c r="B143" s="2">
        <f t="shared" si="10"/>
        <v>1070550.2284039017</v>
      </c>
      <c r="C143" s="2">
        <f>PMT('Home Loan'!$B$9,'Home Loan'!$B$10,-'Home Loan'!$B$4)</f>
        <v>30427.997524853548</v>
      </c>
      <c r="D143" s="2">
        <f>IPMT('Home Loan'!$B$9,A143,'Home Loan'!$B$10,-'Home Loan'!$B$4)</f>
        <v>8029.1267130292708</v>
      </c>
      <c r="E143" s="2">
        <f t="shared" si="11"/>
        <v>22398.870811824279</v>
      </c>
      <c r="F143" s="2">
        <f t="shared" si="8"/>
        <v>1048151.3575920775</v>
      </c>
    </row>
    <row r="144" spans="1:6" x14ac:dyDescent="0.25">
      <c r="A144" s="42">
        <f t="shared" si="9"/>
        <v>141</v>
      </c>
      <c r="B144" s="2">
        <f t="shared" si="10"/>
        <v>1048151.3575920775</v>
      </c>
      <c r="C144" s="2">
        <f>PMT('Home Loan'!$B$9,'Home Loan'!$B$10,-'Home Loan'!$B$4)</f>
        <v>30427.997524853548</v>
      </c>
      <c r="D144" s="2">
        <f>IPMT('Home Loan'!$B$9,A144,'Home Loan'!$B$10,-'Home Loan'!$B$4)</f>
        <v>7861.1351819405863</v>
      </c>
      <c r="E144" s="2">
        <f t="shared" si="11"/>
        <v>22566.862342912962</v>
      </c>
      <c r="F144" s="2">
        <f t="shared" si="8"/>
        <v>1025584.4952491645</v>
      </c>
    </row>
    <row r="145" spans="1:6" x14ac:dyDescent="0.25">
      <c r="A145" s="42">
        <f t="shared" si="9"/>
        <v>142</v>
      </c>
      <c r="B145" s="2">
        <f t="shared" si="10"/>
        <v>1025584.4952491645</v>
      </c>
      <c r="C145" s="2">
        <f>PMT('Home Loan'!$B$9,'Home Loan'!$B$10,-'Home Loan'!$B$4)</f>
        <v>30427.997524853548</v>
      </c>
      <c r="D145" s="2">
        <f>IPMT('Home Loan'!$B$9,A145,'Home Loan'!$B$10,-'Home Loan'!$B$4)</f>
        <v>7691.8837143687415</v>
      </c>
      <c r="E145" s="2">
        <f t="shared" si="11"/>
        <v>22736.113810484807</v>
      </c>
      <c r="F145" s="2">
        <f t="shared" si="8"/>
        <v>1002848.3814386798</v>
      </c>
    </row>
    <row r="146" spans="1:6" x14ac:dyDescent="0.25">
      <c r="A146" s="42">
        <f t="shared" si="9"/>
        <v>143</v>
      </c>
      <c r="B146" s="2">
        <f t="shared" si="10"/>
        <v>1002848.3814386798</v>
      </c>
      <c r="C146" s="2">
        <f>PMT('Home Loan'!$B$9,'Home Loan'!$B$10,-'Home Loan'!$B$4)</f>
        <v>30427.997524853548</v>
      </c>
      <c r="D146" s="2">
        <f>IPMT('Home Loan'!$B$9,A146,'Home Loan'!$B$10,-'Home Loan'!$B$4)</f>
        <v>7521.3628607901046</v>
      </c>
      <c r="E146" s="2">
        <f t="shared" si="11"/>
        <v>22906.634664063444</v>
      </c>
      <c r="F146" s="2">
        <f t="shared" si="8"/>
        <v>979941.7467746163</v>
      </c>
    </row>
    <row r="147" spans="1:6" x14ac:dyDescent="0.25">
      <c r="A147" s="42">
        <f t="shared" si="9"/>
        <v>144</v>
      </c>
      <c r="B147" s="2">
        <f t="shared" si="10"/>
        <v>979941.7467746163</v>
      </c>
      <c r="C147" s="2">
        <f>PMT('Home Loan'!$B$9,'Home Loan'!$B$10,-'Home Loan'!$B$4)</f>
        <v>30427.997524853548</v>
      </c>
      <c r="D147" s="2">
        <f>IPMT('Home Loan'!$B$9,A147,'Home Loan'!$B$10,-'Home Loan'!$B$4)</f>
        <v>7349.5631008096288</v>
      </c>
      <c r="E147" s="2">
        <f t="shared" si="11"/>
        <v>23078.43442404392</v>
      </c>
      <c r="F147" s="2">
        <f t="shared" si="8"/>
        <v>956863.31235057244</v>
      </c>
    </row>
    <row r="148" spans="1:6" x14ac:dyDescent="0.25">
      <c r="A148" s="42">
        <f t="shared" si="9"/>
        <v>145</v>
      </c>
      <c r="B148" s="2">
        <f t="shared" si="10"/>
        <v>956863.31235057244</v>
      </c>
      <c r="C148" s="2">
        <f>PMT('Home Loan'!$B$9,'Home Loan'!$B$10,-'Home Loan'!$B$4)</f>
        <v>30427.997524853548</v>
      </c>
      <c r="D148" s="2">
        <f>IPMT('Home Loan'!$B$9,A148,'Home Loan'!$B$10,-'Home Loan'!$B$4)</f>
        <v>7176.474842629299</v>
      </c>
      <c r="E148" s="2">
        <f t="shared" si="11"/>
        <v>23251.522682224248</v>
      </c>
      <c r="F148" s="2">
        <f t="shared" si="8"/>
        <v>933611.78966834815</v>
      </c>
    </row>
    <row r="149" spans="1:6" x14ac:dyDescent="0.25">
      <c r="A149" s="42">
        <f t="shared" si="9"/>
        <v>146</v>
      </c>
      <c r="B149" s="2">
        <f t="shared" si="10"/>
        <v>933611.78966834815</v>
      </c>
      <c r="C149" s="2">
        <f>PMT('Home Loan'!$B$9,'Home Loan'!$B$10,-'Home Loan'!$B$4)</f>
        <v>30427.997524853548</v>
      </c>
      <c r="D149" s="2">
        <f>IPMT('Home Loan'!$B$9,A149,'Home Loan'!$B$10,-'Home Loan'!$B$4)</f>
        <v>7002.0884225126174</v>
      </c>
      <c r="E149" s="2">
        <f t="shared" si="11"/>
        <v>23425.909102340931</v>
      </c>
      <c r="F149" s="2">
        <f t="shared" si="8"/>
        <v>910185.88056600722</v>
      </c>
    </row>
    <row r="150" spans="1:6" x14ac:dyDescent="0.25">
      <c r="A150" s="42">
        <f t="shared" si="9"/>
        <v>147</v>
      </c>
      <c r="B150" s="2">
        <f t="shared" si="10"/>
        <v>910185.88056600722</v>
      </c>
      <c r="C150" s="2">
        <f>PMT('Home Loan'!$B$9,'Home Loan'!$B$10,-'Home Loan'!$B$4)</f>
        <v>30427.997524853548</v>
      </c>
      <c r="D150" s="2">
        <f>IPMT('Home Loan'!$B$9,A150,'Home Loan'!$B$10,-'Home Loan'!$B$4)</f>
        <v>6826.3941042450588</v>
      </c>
      <c r="E150" s="2">
        <f t="shared" si="11"/>
        <v>23601.603420608488</v>
      </c>
      <c r="F150" s="2">
        <f t="shared" si="8"/>
        <v>886584.27714539878</v>
      </c>
    </row>
    <row r="151" spans="1:6" x14ac:dyDescent="0.25">
      <c r="A151" s="42">
        <f t="shared" si="9"/>
        <v>148</v>
      </c>
      <c r="B151" s="2">
        <f t="shared" si="10"/>
        <v>886584.27714539878</v>
      </c>
      <c r="C151" s="2">
        <f>PMT('Home Loan'!$B$9,'Home Loan'!$B$10,-'Home Loan'!$B$4)</f>
        <v>30427.997524853548</v>
      </c>
      <c r="D151" s="2">
        <f>IPMT('Home Loan'!$B$9,A151,'Home Loan'!$B$10,-'Home Loan'!$B$4)</f>
        <v>6649.3820785904963</v>
      </c>
      <c r="E151" s="2">
        <f t="shared" si="11"/>
        <v>23778.615446263051</v>
      </c>
      <c r="F151" s="2">
        <f t="shared" si="8"/>
        <v>862805.66169913579</v>
      </c>
    </row>
    <row r="152" spans="1:6" x14ac:dyDescent="0.25">
      <c r="A152" s="42">
        <f t="shared" si="9"/>
        <v>149</v>
      </c>
      <c r="B152" s="2">
        <f t="shared" si="10"/>
        <v>862805.66169913579</v>
      </c>
      <c r="C152" s="2">
        <f>PMT('Home Loan'!$B$9,'Home Loan'!$B$10,-'Home Loan'!$B$4)</f>
        <v>30427.997524853548</v>
      </c>
      <c r="D152" s="2">
        <f>IPMT('Home Loan'!$B$9,A152,'Home Loan'!$B$10,-'Home Loan'!$B$4)</f>
        <v>6471.0424627435241</v>
      </c>
      <c r="E152" s="2">
        <f t="shared" si="11"/>
        <v>23956.955062110024</v>
      </c>
      <c r="F152" s="2">
        <f t="shared" si="8"/>
        <v>838848.70663702581</v>
      </c>
    </row>
    <row r="153" spans="1:6" x14ac:dyDescent="0.25">
      <c r="A153" s="42">
        <f t="shared" si="9"/>
        <v>150</v>
      </c>
      <c r="B153" s="2">
        <f t="shared" si="10"/>
        <v>838848.70663702581</v>
      </c>
      <c r="C153" s="2">
        <f>PMT('Home Loan'!$B$9,'Home Loan'!$B$10,-'Home Loan'!$B$4)</f>
        <v>30427.997524853548</v>
      </c>
      <c r="D153" s="2">
        <f>IPMT('Home Loan'!$B$9,A153,'Home Loan'!$B$10,-'Home Loan'!$B$4)</f>
        <v>6291.365299777699</v>
      </c>
      <c r="E153" s="2">
        <f t="shared" si="11"/>
        <v>24136.632225075849</v>
      </c>
      <c r="F153" s="2">
        <f t="shared" si="8"/>
        <v>814712.07441194996</v>
      </c>
    </row>
    <row r="154" spans="1:6" x14ac:dyDescent="0.25">
      <c r="A154" s="42">
        <f t="shared" si="9"/>
        <v>151</v>
      </c>
      <c r="B154" s="2">
        <f t="shared" si="10"/>
        <v>814712.07441194996</v>
      </c>
      <c r="C154" s="2">
        <f>PMT('Home Loan'!$B$9,'Home Loan'!$B$10,-'Home Loan'!$B$4)</f>
        <v>30427.997524853548</v>
      </c>
      <c r="D154" s="2">
        <f>IPMT('Home Loan'!$B$9,A154,'Home Loan'!$B$10,-'Home Loan'!$B$4)</f>
        <v>6110.3405580896297</v>
      </c>
      <c r="E154" s="2">
        <f t="shared" si="11"/>
        <v>24317.65696676392</v>
      </c>
      <c r="F154" s="2">
        <f t="shared" si="8"/>
        <v>790394.41744518606</v>
      </c>
    </row>
    <row r="155" spans="1:6" x14ac:dyDescent="0.25">
      <c r="A155" s="42">
        <f t="shared" si="9"/>
        <v>152</v>
      </c>
      <c r="B155" s="2">
        <f t="shared" si="10"/>
        <v>790394.41744518606</v>
      </c>
      <c r="C155" s="2">
        <f>PMT('Home Loan'!$B$9,'Home Loan'!$B$10,-'Home Loan'!$B$4)</f>
        <v>30427.997524853548</v>
      </c>
      <c r="D155" s="2">
        <f>IPMT('Home Loan'!$B$9,A155,'Home Loan'!$B$10,-'Home Loan'!$B$4)</f>
        <v>5927.9581308388997</v>
      </c>
      <c r="E155" s="2">
        <f t="shared" si="11"/>
        <v>24500.03939401465</v>
      </c>
      <c r="F155" s="2">
        <f t="shared" si="8"/>
        <v>765894.37805117143</v>
      </c>
    </row>
    <row r="156" spans="1:6" x14ac:dyDescent="0.25">
      <c r="A156" s="42">
        <f t="shared" si="9"/>
        <v>153</v>
      </c>
      <c r="B156" s="2">
        <f t="shared" si="10"/>
        <v>765894.37805117143</v>
      </c>
      <c r="C156" s="2">
        <f>PMT('Home Loan'!$B$9,'Home Loan'!$B$10,-'Home Loan'!$B$4)</f>
        <v>30427.997524853548</v>
      </c>
      <c r="D156" s="2">
        <f>IPMT('Home Loan'!$B$9,A156,'Home Loan'!$B$10,-'Home Loan'!$B$4)</f>
        <v>5744.2078353837906</v>
      </c>
      <c r="E156" s="2">
        <f t="shared" si="11"/>
        <v>24683.789689469759</v>
      </c>
      <c r="F156" s="2">
        <f t="shared" si="8"/>
        <v>741210.5883617017</v>
      </c>
    </row>
    <row r="157" spans="1:6" x14ac:dyDescent="0.25">
      <c r="A157" s="42">
        <f t="shared" si="9"/>
        <v>154</v>
      </c>
      <c r="B157" s="2">
        <f t="shared" si="10"/>
        <v>741210.5883617017</v>
      </c>
      <c r="C157" s="2">
        <f>PMT('Home Loan'!$B$9,'Home Loan'!$B$10,-'Home Loan'!$B$4)</f>
        <v>30427.997524853548</v>
      </c>
      <c r="D157" s="2">
        <f>IPMT('Home Loan'!$B$9,A157,'Home Loan'!$B$10,-'Home Loan'!$B$4)</f>
        <v>5559.0794127127656</v>
      </c>
      <c r="E157" s="2">
        <f t="shared" si="11"/>
        <v>24868.918112140782</v>
      </c>
      <c r="F157" s="2">
        <f t="shared" si="8"/>
        <v>716341.67024956096</v>
      </c>
    </row>
    <row r="158" spans="1:6" x14ac:dyDescent="0.25">
      <c r="A158" s="42">
        <f t="shared" si="9"/>
        <v>155</v>
      </c>
      <c r="B158" s="2">
        <f t="shared" si="10"/>
        <v>716341.67024956096</v>
      </c>
      <c r="C158" s="2">
        <f>PMT('Home Loan'!$B$9,'Home Loan'!$B$10,-'Home Loan'!$B$4)</f>
        <v>30427.997524853548</v>
      </c>
      <c r="D158" s="2">
        <f>IPMT('Home Loan'!$B$9,A158,'Home Loan'!$B$10,-'Home Loan'!$B$4)</f>
        <v>5372.5625268717113</v>
      </c>
      <c r="E158" s="2">
        <f t="shared" si="11"/>
        <v>25055.434997981836</v>
      </c>
      <c r="F158" s="2">
        <f t="shared" si="8"/>
        <v>691286.23525157908</v>
      </c>
    </row>
    <row r="159" spans="1:6" x14ac:dyDescent="0.25">
      <c r="A159" s="42">
        <f t="shared" si="9"/>
        <v>156</v>
      </c>
      <c r="B159" s="2">
        <f t="shared" si="10"/>
        <v>691286.23525157908</v>
      </c>
      <c r="C159" s="2">
        <f>PMT('Home Loan'!$B$9,'Home Loan'!$B$10,-'Home Loan'!$B$4)</f>
        <v>30427.997524853548</v>
      </c>
      <c r="D159" s="2">
        <f>IPMT('Home Loan'!$B$9,A159,'Home Loan'!$B$10,-'Home Loan'!$B$4)</f>
        <v>5184.6467643868473</v>
      </c>
      <c r="E159" s="2">
        <f t="shared" si="11"/>
        <v>25243.350760466703</v>
      </c>
      <c r="F159" s="2">
        <f t="shared" si="8"/>
        <v>666042.88449111243</v>
      </c>
    </row>
    <row r="160" spans="1:6" x14ac:dyDescent="0.25">
      <c r="A160" s="42">
        <f t="shared" si="9"/>
        <v>157</v>
      </c>
      <c r="B160" s="2">
        <f t="shared" si="10"/>
        <v>666042.88449111243</v>
      </c>
      <c r="C160" s="2">
        <f>PMT('Home Loan'!$B$9,'Home Loan'!$B$10,-'Home Loan'!$B$4)</f>
        <v>30427.997524853548</v>
      </c>
      <c r="D160" s="2">
        <f>IPMT('Home Loan'!$B$9,A160,'Home Loan'!$B$10,-'Home Loan'!$B$4)</f>
        <v>4995.3216336833466</v>
      </c>
      <c r="E160" s="2">
        <f t="shared" si="11"/>
        <v>25432.675891170202</v>
      </c>
      <c r="F160" s="2">
        <f t="shared" si="8"/>
        <v>640610.20859994227</v>
      </c>
    </row>
    <row r="161" spans="1:6" x14ac:dyDescent="0.25">
      <c r="A161" s="42">
        <f t="shared" si="9"/>
        <v>158</v>
      </c>
      <c r="B161" s="2">
        <f t="shared" si="10"/>
        <v>640610.20859994227</v>
      </c>
      <c r="C161" s="2">
        <f>PMT('Home Loan'!$B$9,'Home Loan'!$B$10,-'Home Loan'!$B$4)</f>
        <v>30427.997524853548</v>
      </c>
      <c r="D161" s="2">
        <f>IPMT('Home Loan'!$B$9,A161,'Home Loan'!$B$10,-'Home Loan'!$B$4)</f>
        <v>4804.5765644995699</v>
      </c>
      <c r="E161" s="2">
        <f t="shared" si="11"/>
        <v>25623.420960353978</v>
      </c>
      <c r="F161" s="2">
        <f t="shared" si="8"/>
        <v>614986.78763958835</v>
      </c>
    </row>
    <row r="162" spans="1:6" x14ac:dyDescent="0.25">
      <c r="A162" s="42">
        <f t="shared" si="9"/>
        <v>159</v>
      </c>
      <c r="B162" s="2">
        <f t="shared" si="10"/>
        <v>614986.78763958835</v>
      </c>
      <c r="C162" s="2">
        <f>PMT('Home Loan'!$B$9,'Home Loan'!$B$10,-'Home Loan'!$B$4)</f>
        <v>30427.997524853548</v>
      </c>
      <c r="D162" s="2">
        <f>IPMT('Home Loan'!$B$9,A162,'Home Loan'!$B$10,-'Home Loan'!$B$4)</f>
        <v>4612.4009072969147</v>
      </c>
      <c r="E162" s="2">
        <f t="shared" si="11"/>
        <v>25815.596617556635</v>
      </c>
      <c r="F162" s="2">
        <f t="shared" si="8"/>
        <v>589171.19102203171</v>
      </c>
    </row>
    <row r="163" spans="1:6" x14ac:dyDescent="0.25">
      <c r="A163" s="42">
        <f t="shared" si="9"/>
        <v>160</v>
      </c>
      <c r="B163" s="2">
        <f t="shared" si="10"/>
        <v>589171.19102203171</v>
      </c>
      <c r="C163" s="2">
        <f>PMT('Home Loan'!$B$9,'Home Loan'!$B$10,-'Home Loan'!$B$4)</f>
        <v>30427.997524853548</v>
      </c>
      <c r="D163" s="2">
        <f>IPMT('Home Loan'!$B$9,A163,'Home Loan'!$B$10,-'Home Loan'!$B$4)</f>
        <v>4418.7839326652402</v>
      </c>
      <c r="E163" s="2">
        <f t="shared" si="11"/>
        <v>26009.213592188309</v>
      </c>
      <c r="F163" s="2">
        <f t="shared" si="8"/>
        <v>563161.97742984339</v>
      </c>
    </row>
    <row r="164" spans="1:6" x14ac:dyDescent="0.25">
      <c r="A164" s="42">
        <f t="shared" si="9"/>
        <v>161</v>
      </c>
      <c r="B164" s="2">
        <f t="shared" si="10"/>
        <v>563161.97742984339</v>
      </c>
      <c r="C164" s="2">
        <f>PMT('Home Loan'!$B$9,'Home Loan'!$B$10,-'Home Loan'!$B$4)</f>
        <v>30427.997524853548</v>
      </c>
      <c r="D164" s="2">
        <f>IPMT('Home Loan'!$B$9,A164,'Home Loan'!$B$10,-'Home Loan'!$B$4)</f>
        <v>4223.7148307238276</v>
      </c>
      <c r="E164" s="2">
        <f t="shared" si="11"/>
        <v>26204.282694129721</v>
      </c>
      <c r="F164" s="2">
        <f t="shared" si="8"/>
        <v>536957.69473571365</v>
      </c>
    </row>
    <row r="165" spans="1:6" x14ac:dyDescent="0.25">
      <c r="A165" s="42">
        <f t="shared" si="9"/>
        <v>162</v>
      </c>
      <c r="B165" s="2">
        <f t="shared" si="10"/>
        <v>536957.69473571365</v>
      </c>
      <c r="C165" s="2">
        <f>PMT('Home Loan'!$B$9,'Home Loan'!$B$10,-'Home Loan'!$B$4)</f>
        <v>30427.997524853548</v>
      </c>
      <c r="D165" s="2">
        <f>IPMT('Home Loan'!$B$9,A165,'Home Loan'!$B$10,-'Home Loan'!$B$4)</f>
        <v>4027.1827105178559</v>
      </c>
      <c r="E165" s="2">
        <f t="shared" si="11"/>
        <v>26400.814814335692</v>
      </c>
      <c r="F165" s="2">
        <f t="shared" si="8"/>
        <v>510556.87992137799</v>
      </c>
    </row>
    <row r="166" spans="1:6" x14ac:dyDescent="0.25">
      <c r="A166" s="42">
        <f t="shared" si="9"/>
        <v>163</v>
      </c>
      <c r="B166" s="2">
        <f t="shared" si="10"/>
        <v>510556.87992137799</v>
      </c>
      <c r="C166" s="2">
        <f>PMT('Home Loan'!$B$9,'Home Loan'!$B$10,-'Home Loan'!$B$4)</f>
        <v>30427.997524853548</v>
      </c>
      <c r="D166" s="2">
        <f>IPMT('Home Loan'!$B$9,A166,'Home Loan'!$B$10,-'Home Loan'!$B$4)</f>
        <v>3829.1765994103375</v>
      </c>
      <c r="E166" s="2">
        <f t="shared" si="11"/>
        <v>26598.820925443211</v>
      </c>
      <c r="F166" s="2">
        <f t="shared" si="8"/>
        <v>483958.05899593479</v>
      </c>
    </row>
    <row r="167" spans="1:6" x14ac:dyDescent="0.25">
      <c r="A167" s="42">
        <f t="shared" si="9"/>
        <v>164</v>
      </c>
      <c r="B167" s="2">
        <f t="shared" si="10"/>
        <v>483958.05899593479</v>
      </c>
      <c r="C167" s="2">
        <f>PMT('Home Loan'!$B$9,'Home Loan'!$B$10,-'Home Loan'!$B$4)</f>
        <v>30427.997524853548</v>
      </c>
      <c r="D167" s="2">
        <f>IPMT('Home Loan'!$B$9,A167,'Home Loan'!$B$10,-'Home Loan'!$B$4)</f>
        <v>3629.6854424695139</v>
      </c>
      <c r="E167" s="2">
        <f t="shared" si="11"/>
        <v>26798.312082384036</v>
      </c>
      <c r="F167" s="2">
        <f t="shared" si="8"/>
        <v>457159.74691355077</v>
      </c>
    </row>
    <row r="168" spans="1:6" x14ac:dyDescent="0.25">
      <c r="A168" s="42">
        <f t="shared" si="9"/>
        <v>165</v>
      </c>
      <c r="B168" s="2">
        <f t="shared" si="10"/>
        <v>457159.74691355077</v>
      </c>
      <c r="C168" s="2">
        <f>PMT('Home Loan'!$B$9,'Home Loan'!$B$10,-'Home Loan'!$B$4)</f>
        <v>30427.997524853548</v>
      </c>
      <c r="D168" s="2">
        <f>IPMT('Home Loan'!$B$9,A168,'Home Loan'!$B$10,-'Home Loan'!$B$4)</f>
        <v>3428.6981018516335</v>
      </c>
      <c r="E168" s="2">
        <f t="shared" si="11"/>
        <v>26999.299423001914</v>
      </c>
      <c r="F168" s="2">
        <f t="shared" si="8"/>
        <v>430160.44749054883</v>
      </c>
    </row>
    <row r="169" spans="1:6" x14ac:dyDescent="0.25">
      <c r="A169" s="42">
        <f t="shared" si="9"/>
        <v>166</v>
      </c>
      <c r="B169" s="2">
        <f t="shared" si="10"/>
        <v>430160.44749054883</v>
      </c>
      <c r="C169" s="2">
        <f>PMT('Home Loan'!$B$9,'Home Loan'!$B$10,-'Home Loan'!$B$4)</f>
        <v>30427.997524853548</v>
      </c>
      <c r="D169" s="2">
        <f>IPMT('Home Loan'!$B$9,A169,'Home Loan'!$B$10,-'Home Loan'!$B$4)</f>
        <v>3226.2033561791195</v>
      </c>
      <c r="E169" s="2">
        <f t="shared" si="11"/>
        <v>27201.794168674431</v>
      </c>
      <c r="F169" s="2">
        <f t="shared" si="8"/>
        <v>402958.65332187439</v>
      </c>
    </row>
    <row r="170" spans="1:6" x14ac:dyDescent="0.25">
      <c r="A170" s="42">
        <f t="shared" si="9"/>
        <v>167</v>
      </c>
      <c r="B170" s="2">
        <f t="shared" si="10"/>
        <v>402958.65332187439</v>
      </c>
      <c r="C170" s="2">
        <f>PMT('Home Loan'!$B$9,'Home Loan'!$B$10,-'Home Loan'!$B$4)</f>
        <v>30427.997524853548</v>
      </c>
      <c r="D170" s="2">
        <f>IPMT('Home Loan'!$B$9,A170,'Home Loan'!$B$10,-'Home Loan'!$B$4)</f>
        <v>3022.1898999140612</v>
      </c>
      <c r="E170" s="2">
        <f t="shared" si="11"/>
        <v>27405.807624939487</v>
      </c>
      <c r="F170" s="2">
        <f t="shared" si="8"/>
        <v>375552.84569693491</v>
      </c>
    </row>
    <row r="171" spans="1:6" x14ac:dyDescent="0.25">
      <c r="A171" s="42">
        <f t="shared" si="9"/>
        <v>168</v>
      </c>
      <c r="B171" s="2">
        <f t="shared" si="10"/>
        <v>375552.84569693491</v>
      </c>
      <c r="C171" s="2">
        <f>PMT('Home Loan'!$B$9,'Home Loan'!$B$10,-'Home Loan'!$B$4)</f>
        <v>30427.997524853548</v>
      </c>
      <c r="D171" s="2">
        <f>IPMT('Home Loan'!$B$9,A171,'Home Loan'!$B$10,-'Home Loan'!$B$4)</f>
        <v>2816.6463427270155</v>
      </c>
      <c r="E171" s="2">
        <f t="shared" si="11"/>
        <v>27611.351182126535</v>
      </c>
      <c r="F171" s="2">
        <f t="shared" si="8"/>
        <v>347941.49451480835</v>
      </c>
    </row>
    <row r="172" spans="1:6" x14ac:dyDescent="0.25">
      <c r="A172" s="42">
        <f t="shared" si="9"/>
        <v>169</v>
      </c>
      <c r="B172" s="2">
        <f t="shared" si="10"/>
        <v>347941.49451480835</v>
      </c>
      <c r="C172" s="2">
        <f>PMT('Home Loan'!$B$9,'Home Loan'!$B$10,-'Home Loan'!$B$4)</f>
        <v>30427.997524853548</v>
      </c>
      <c r="D172" s="2">
        <f>IPMT('Home Loan'!$B$9,A172,'Home Loan'!$B$10,-'Home Loan'!$B$4)</f>
        <v>2609.561208861066</v>
      </c>
      <c r="E172" s="2">
        <f t="shared" si="11"/>
        <v>27818.436315992483</v>
      </c>
      <c r="F172" s="2">
        <f t="shared" si="8"/>
        <v>320123.05819881585</v>
      </c>
    </row>
    <row r="173" spans="1:6" x14ac:dyDescent="0.25">
      <c r="A173" s="42">
        <f t="shared" si="9"/>
        <v>170</v>
      </c>
      <c r="B173" s="2">
        <f t="shared" si="10"/>
        <v>320123.05819881585</v>
      </c>
      <c r="C173" s="2">
        <f>PMT('Home Loan'!$B$9,'Home Loan'!$B$10,-'Home Loan'!$B$4)</f>
        <v>30427.997524853548</v>
      </c>
      <c r="D173" s="2">
        <f>IPMT('Home Loan'!$B$9,A173,'Home Loan'!$B$10,-'Home Loan'!$B$4)</f>
        <v>2400.9229364911221</v>
      </c>
      <c r="E173" s="2">
        <f t="shared" si="11"/>
        <v>28027.074588362426</v>
      </c>
      <c r="F173" s="2">
        <f t="shared" si="8"/>
        <v>292095.98361045343</v>
      </c>
    </row>
    <row r="174" spans="1:6" x14ac:dyDescent="0.25">
      <c r="A174" s="42">
        <f t="shared" si="9"/>
        <v>171</v>
      </c>
      <c r="B174" s="2">
        <f t="shared" si="10"/>
        <v>292095.98361045343</v>
      </c>
      <c r="C174" s="2">
        <f>PMT('Home Loan'!$B$9,'Home Loan'!$B$10,-'Home Loan'!$B$4)</f>
        <v>30427.997524853548</v>
      </c>
      <c r="D174" s="2">
        <f>IPMT('Home Loan'!$B$9,A174,'Home Loan'!$B$10,-'Home Loan'!$B$4)</f>
        <v>2190.7198770784044</v>
      </c>
      <c r="E174" s="2">
        <f t="shared" si="11"/>
        <v>28237.277647775143</v>
      </c>
      <c r="F174" s="2">
        <f t="shared" si="8"/>
        <v>263858.7059626783</v>
      </c>
    </row>
    <row r="175" spans="1:6" x14ac:dyDescent="0.25">
      <c r="A175" s="42">
        <f t="shared" si="9"/>
        <v>172</v>
      </c>
      <c r="B175" s="2">
        <f t="shared" si="10"/>
        <v>263858.7059626783</v>
      </c>
      <c r="C175" s="2">
        <f>PMT('Home Loan'!$B$9,'Home Loan'!$B$10,-'Home Loan'!$B$4)</f>
        <v>30427.997524853548</v>
      </c>
      <c r="D175" s="2">
        <f>IPMT('Home Loan'!$B$9,A175,'Home Loan'!$B$10,-'Home Loan'!$B$4)</f>
        <v>1978.9402947200902</v>
      </c>
      <c r="E175" s="2">
        <f t="shared" si="11"/>
        <v>28449.057230133458</v>
      </c>
      <c r="F175" s="2">
        <f t="shared" si="8"/>
        <v>235409.64873254485</v>
      </c>
    </row>
    <row r="176" spans="1:6" x14ac:dyDescent="0.25">
      <c r="A176" s="42">
        <f t="shared" si="9"/>
        <v>173</v>
      </c>
      <c r="B176" s="2">
        <f t="shared" si="10"/>
        <v>235409.64873254485</v>
      </c>
      <c r="C176" s="2">
        <f>PMT('Home Loan'!$B$9,'Home Loan'!$B$10,-'Home Loan'!$B$4)</f>
        <v>30427.997524853548</v>
      </c>
      <c r="D176" s="2">
        <f>IPMT('Home Loan'!$B$9,A176,'Home Loan'!$B$10,-'Home Loan'!$B$4)</f>
        <v>1765.5723654940896</v>
      </c>
      <c r="E176" s="2">
        <f t="shared" si="11"/>
        <v>28662.42515935946</v>
      </c>
      <c r="F176" s="2">
        <f t="shared" si="8"/>
        <v>206747.22357318539</v>
      </c>
    </row>
    <row r="177" spans="1:6" x14ac:dyDescent="0.25">
      <c r="A177" s="42">
        <f t="shared" si="9"/>
        <v>174</v>
      </c>
      <c r="B177" s="2">
        <f t="shared" si="10"/>
        <v>206747.22357318539</v>
      </c>
      <c r="C177" s="2">
        <f>PMT('Home Loan'!$B$9,'Home Loan'!$B$10,-'Home Loan'!$B$4)</f>
        <v>30427.997524853548</v>
      </c>
      <c r="D177" s="2">
        <f>IPMT('Home Loan'!$B$9,A177,'Home Loan'!$B$10,-'Home Loan'!$B$4)</f>
        <v>1550.6041767988936</v>
      </c>
      <c r="E177" s="2">
        <f t="shared" si="11"/>
        <v>28877.393348054655</v>
      </c>
      <c r="F177" s="2">
        <f t="shared" si="8"/>
        <v>177869.83022513072</v>
      </c>
    </row>
    <row r="178" spans="1:6" x14ac:dyDescent="0.25">
      <c r="A178" s="42">
        <f t="shared" si="9"/>
        <v>175</v>
      </c>
      <c r="B178" s="2">
        <f t="shared" si="10"/>
        <v>177869.83022513072</v>
      </c>
      <c r="C178" s="2">
        <f>PMT('Home Loan'!$B$9,'Home Loan'!$B$10,-'Home Loan'!$B$4)</f>
        <v>30427.997524853548</v>
      </c>
      <c r="D178" s="2">
        <f>IPMT('Home Loan'!$B$9,A178,'Home Loan'!$B$10,-'Home Loan'!$B$4)</f>
        <v>1334.0237266884835</v>
      </c>
      <c r="E178" s="2">
        <f t="shared" si="11"/>
        <v>29093.973798165065</v>
      </c>
      <c r="F178" s="2">
        <f t="shared" si="8"/>
        <v>148775.85642696565</v>
      </c>
    </row>
    <row r="179" spans="1:6" x14ac:dyDescent="0.25">
      <c r="A179" s="42">
        <f t="shared" si="9"/>
        <v>176</v>
      </c>
      <c r="B179" s="2">
        <f t="shared" si="10"/>
        <v>148775.85642696565</v>
      </c>
      <c r="C179" s="2">
        <f>PMT('Home Loan'!$B$9,'Home Loan'!$B$10,-'Home Loan'!$B$4)</f>
        <v>30427.997524853548</v>
      </c>
      <c r="D179" s="2">
        <f>IPMT('Home Loan'!$B$9,A179,'Home Loan'!$B$10,-'Home Loan'!$B$4)</f>
        <v>1115.8189232022457</v>
      </c>
      <c r="E179" s="2">
        <f t="shared" si="11"/>
        <v>29312.178601651303</v>
      </c>
      <c r="F179" s="2">
        <f t="shared" si="8"/>
        <v>119463.67782531434</v>
      </c>
    </row>
    <row r="180" spans="1:6" x14ac:dyDescent="0.25">
      <c r="A180" s="42">
        <f t="shared" si="9"/>
        <v>177</v>
      </c>
      <c r="B180" s="2">
        <f t="shared" si="10"/>
        <v>119463.67782531434</v>
      </c>
      <c r="C180" s="2">
        <f>PMT('Home Loan'!$B$9,'Home Loan'!$B$10,-'Home Loan'!$B$4)</f>
        <v>30427.997524853548</v>
      </c>
      <c r="D180" s="2">
        <f>IPMT('Home Loan'!$B$9,A180,'Home Loan'!$B$10,-'Home Loan'!$B$4)</f>
        <v>895.97758368986104</v>
      </c>
      <c r="E180" s="2">
        <f t="shared" si="11"/>
        <v>29532.019941163686</v>
      </c>
      <c r="F180" s="2">
        <f t="shared" si="8"/>
        <v>89931.657884150656</v>
      </c>
    </row>
    <row r="181" spans="1:6" x14ac:dyDescent="0.25">
      <c r="A181" s="42">
        <f t="shared" si="9"/>
        <v>178</v>
      </c>
      <c r="B181" s="2">
        <f t="shared" si="10"/>
        <v>89931.657884150656</v>
      </c>
      <c r="C181" s="2">
        <f>PMT('Home Loan'!$B$9,'Home Loan'!$B$10,-'Home Loan'!$B$4)</f>
        <v>30427.997524853548</v>
      </c>
      <c r="D181" s="2">
        <f>IPMT('Home Loan'!$B$9,A181,'Home Loan'!$B$10,-'Home Loan'!$B$4)</f>
        <v>674.48743413113323</v>
      </c>
      <c r="E181" s="2">
        <f t="shared" si="11"/>
        <v>29753.510090722415</v>
      </c>
      <c r="F181" s="2">
        <f t="shared" si="8"/>
        <v>60178.147793428245</v>
      </c>
    </row>
    <row r="182" spans="1:6" x14ac:dyDescent="0.25">
      <c r="A182" s="42">
        <f t="shared" si="9"/>
        <v>179</v>
      </c>
      <c r="B182" s="2">
        <f t="shared" si="10"/>
        <v>60178.147793428245</v>
      </c>
      <c r="C182" s="2">
        <f>PMT('Home Loan'!$B$9,'Home Loan'!$B$10,-'Home Loan'!$B$4)</f>
        <v>30427.997524853548</v>
      </c>
      <c r="D182" s="2">
        <f>IPMT('Home Loan'!$B$9,A182,'Home Loan'!$B$10,-'Home Loan'!$B$4)</f>
        <v>451.33610845071519</v>
      </c>
      <c r="E182" s="2">
        <f t="shared" si="11"/>
        <v>29976.661416402832</v>
      </c>
      <c r="F182" s="2">
        <f t="shared" si="8"/>
        <v>30201.486377025412</v>
      </c>
    </row>
    <row r="183" spans="1:6" x14ac:dyDescent="0.25">
      <c r="A183" s="42">
        <f t="shared" si="9"/>
        <v>180</v>
      </c>
      <c r="B183" s="2">
        <f t="shared" si="10"/>
        <v>30201.486377025412</v>
      </c>
      <c r="C183" s="2">
        <f>PMT('Home Loan'!$B$9,'Home Loan'!$B$10,-'Home Loan'!$B$4)</f>
        <v>30427.997524853548</v>
      </c>
      <c r="D183" s="2">
        <f>IPMT('Home Loan'!$B$9,A183,'Home Loan'!$B$10,-'Home Loan'!$B$4)</f>
        <v>226.51114782769395</v>
      </c>
      <c r="E183" s="2">
        <f t="shared" si="11"/>
        <v>30201.486377025856</v>
      </c>
      <c r="F183" s="2">
        <f t="shared" si="8"/>
        <v>-4.4383341446518898E-10</v>
      </c>
    </row>
    <row r="184" spans="1:6" x14ac:dyDescent="0.25">
      <c r="A184" s="42"/>
    </row>
    <row r="185" spans="1:6" x14ac:dyDescent="0.25">
      <c r="A185" s="42"/>
    </row>
    <row r="186" spans="1:6" x14ac:dyDescent="0.25">
      <c r="A186" s="42"/>
    </row>
    <row r="187" spans="1:6" x14ac:dyDescent="0.25">
      <c r="A187" s="42"/>
    </row>
    <row r="188" spans="1:6" x14ac:dyDescent="0.25">
      <c r="A188" s="42"/>
    </row>
    <row r="189" spans="1:6" x14ac:dyDescent="0.25">
      <c r="A189" s="42"/>
    </row>
    <row r="190" spans="1:6" x14ac:dyDescent="0.25">
      <c r="A190" s="42"/>
    </row>
    <row r="191" spans="1:6" x14ac:dyDescent="0.25">
      <c r="A191" s="42"/>
    </row>
    <row r="192" spans="1:6" x14ac:dyDescent="0.25">
      <c r="A192" s="42"/>
    </row>
    <row r="193" spans="1:1" x14ac:dyDescent="0.25">
      <c r="A193" s="42"/>
    </row>
    <row r="194" spans="1:1" x14ac:dyDescent="0.25">
      <c r="A194" s="42"/>
    </row>
    <row r="195" spans="1:1" x14ac:dyDescent="0.25">
      <c r="A195" s="42"/>
    </row>
    <row r="196" spans="1:1" x14ac:dyDescent="0.25">
      <c r="A196" s="42"/>
    </row>
    <row r="197" spans="1:1" x14ac:dyDescent="0.25">
      <c r="A197" s="42"/>
    </row>
    <row r="198" spans="1:1" x14ac:dyDescent="0.25">
      <c r="A198" s="42"/>
    </row>
    <row r="199" spans="1:1" x14ac:dyDescent="0.25">
      <c r="A199" s="42"/>
    </row>
    <row r="200" spans="1:1" x14ac:dyDescent="0.25">
      <c r="A200" s="42"/>
    </row>
    <row r="201" spans="1:1" x14ac:dyDescent="0.25">
      <c r="A201" s="42"/>
    </row>
    <row r="202" spans="1:1" x14ac:dyDescent="0.25">
      <c r="A202" s="42"/>
    </row>
    <row r="203" spans="1:1" x14ac:dyDescent="0.25">
      <c r="A203" s="42"/>
    </row>
    <row r="204" spans="1:1" x14ac:dyDescent="0.25">
      <c r="A204" s="42"/>
    </row>
    <row r="205" spans="1:1" x14ac:dyDescent="0.25">
      <c r="A205" s="42"/>
    </row>
    <row r="206" spans="1:1" x14ac:dyDescent="0.25">
      <c r="A206" s="42"/>
    </row>
    <row r="207" spans="1:1" x14ac:dyDescent="0.25">
      <c r="A207" s="42"/>
    </row>
    <row r="208" spans="1:1" x14ac:dyDescent="0.25">
      <c r="A208" s="42"/>
    </row>
    <row r="209" spans="1:1" x14ac:dyDescent="0.25">
      <c r="A209" s="42"/>
    </row>
    <row r="210" spans="1:1" x14ac:dyDescent="0.25">
      <c r="A210" s="42"/>
    </row>
    <row r="211" spans="1:1" x14ac:dyDescent="0.25">
      <c r="A211" s="42"/>
    </row>
    <row r="212" spans="1:1" x14ac:dyDescent="0.25">
      <c r="A212" s="42"/>
    </row>
    <row r="213" spans="1:1" x14ac:dyDescent="0.25">
      <c r="A213" s="42"/>
    </row>
    <row r="214" spans="1:1" x14ac:dyDescent="0.25">
      <c r="A214" s="42"/>
    </row>
    <row r="215" spans="1:1" x14ac:dyDescent="0.25">
      <c r="A215" s="42"/>
    </row>
    <row r="216" spans="1:1" x14ac:dyDescent="0.25">
      <c r="A216" s="42"/>
    </row>
    <row r="217" spans="1:1" x14ac:dyDescent="0.25">
      <c r="A217" s="42"/>
    </row>
    <row r="218" spans="1:1" x14ac:dyDescent="0.25">
      <c r="A218" s="42"/>
    </row>
    <row r="219" spans="1:1" x14ac:dyDescent="0.25">
      <c r="A219" s="42"/>
    </row>
    <row r="220" spans="1:1" x14ac:dyDescent="0.25">
      <c r="A220" s="42"/>
    </row>
    <row r="221" spans="1:1" x14ac:dyDescent="0.25">
      <c r="A221" s="42"/>
    </row>
    <row r="222" spans="1:1" x14ac:dyDescent="0.25">
      <c r="A222" s="42"/>
    </row>
    <row r="223" spans="1:1" x14ac:dyDescent="0.25">
      <c r="A223" s="42"/>
    </row>
    <row r="224" spans="1:1" x14ac:dyDescent="0.25">
      <c r="A224" s="42"/>
    </row>
    <row r="225" spans="1:1" x14ac:dyDescent="0.25">
      <c r="A225" s="42"/>
    </row>
    <row r="226" spans="1:1" x14ac:dyDescent="0.25">
      <c r="A226" s="42"/>
    </row>
    <row r="227" spans="1:1" x14ac:dyDescent="0.25">
      <c r="A227" s="42"/>
    </row>
    <row r="228" spans="1:1" x14ac:dyDescent="0.25">
      <c r="A228" s="42"/>
    </row>
    <row r="229" spans="1:1" x14ac:dyDescent="0.25">
      <c r="A229" s="42"/>
    </row>
    <row r="230" spans="1:1" x14ac:dyDescent="0.25">
      <c r="A230" s="42"/>
    </row>
    <row r="231" spans="1:1" x14ac:dyDescent="0.25">
      <c r="A231" s="42"/>
    </row>
    <row r="232" spans="1:1" x14ac:dyDescent="0.25">
      <c r="A232" s="42"/>
    </row>
    <row r="233" spans="1:1" x14ac:dyDescent="0.25">
      <c r="A233" s="42"/>
    </row>
    <row r="234" spans="1:1" x14ac:dyDescent="0.25">
      <c r="A234" s="42"/>
    </row>
    <row r="235" spans="1:1" x14ac:dyDescent="0.25">
      <c r="A235" s="42"/>
    </row>
    <row r="236" spans="1:1" x14ac:dyDescent="0.25">
      <c r="A236" s="42"/>
    </row>
    <row r="237" spans="1:1" x14ac:dyDescent="0.25">
      <c r="A237" s="42"/>
    </row>
    <row r="238" spans="1:1" x14ac:dyDescent="0.25">
      <c r="A238" s="42"/>
    </row>
    <row r="239" spans="1:1" x14ac:dyDescent="0.25">
      <c r="A239" s="42"/>
    </row>
    <row r="240" spans="1:1" x14ac:dyDescent="0.25">
      <c r="A240" s="42"/>
    </row>
    <row r="241" spans="1:1" x14ac:dyDescent="0.25">
      <c r="A241" s="42"/>
    </row>
    <row r="242" spans="1:1" x14ac:dyDescent="0.25">
      <c r="A242" s="42"/>
    </row>
    <row r="243" spans="1:1" x14ac:dyDescent="0.25">
      <c r="A243" s="42"/>
    </row>
    <row r="244" spans="1:1" x14ac:dyDescent="0.25">
      <c r="A244" s="42"/>
    </row>
    <row r="245" spans="1:1" x14ac:dyDescent="0.25">
      <c r="A245" s="42"/>
    </row>
    <row r="246" spans="1:1" x14ac:dyDescent="0.25">
      <c r="A246" s="42"/>
    </row>
    <row r="247" spans="1:1" x14ac:dyDescent="0.25">
      <c r="A247" s="42"/>
    </row>
    <row r="248" spans="1:1" x14ac:dyDescent="0.25">
      <c r="A248" s="42"/>
    </row>
    <row r="249" spans="1:1" x14ac:dyDescent="0.25">
      <c r="A249" s="42"/>
    </row>
    <row r="250" spans="1:1" x14ac:dyDescent="0.25">
      <c r="A250" s="42"/>
    </row>
    <row r="251" spans="1:1" x14ac:dyDescent="0.25">
      <c r="A251" s="42"/>
    </row>
    <row r="252" spans="1:1" x14ac:dyDescent="0.25">
      <c r="A252" s="42"/>
    </row>
    <row r="253" spans="1:1" x14ac:dyDescent="0.25">
      <c r="A253" s="42"/>
    </row>
    <row r="254" spans="1:1" x14ac:dyDescent="0.25">
      <c r="A254" s="42"/>
    </row>
    <row r="255" spans="1:1" x14ac:dyDescent="0.25">
      <c r="A255" s="42"/>
    </row>
    <row r="256" spans="1:1" x14ac:dyDescent="0.25">
      <c r="A256" s="42"/>
    </row>
    <row r="257" spans="1:1" x14ac:dyDescent="0.25">
      <c r="A257" s="42"/>
    </row>
    <row r="258" spans="1:1" x14ac:dyDescent="0.25">
      <c r="A258" s="42"/>
    </row>
    <row r="259" spans="1:1" x14ac:dyDescent="0.25">
      <c r="A259" s="42"/>
    </row>
    <row r="260" spans="1:1" x14ac:dyDescent="0.25">
      <c r="A260" s="42"/>
    </row>
    <row r="261" spans="1:1" x14ac:dyDescent="0.25">
      <c r="A261" s="42"/>
    </row>
    <row r="262" spans="1:1" x14ac:dyDescent="0.25">
      <c r="A262" s="42"/>
    </row>
    <row r="263" spans="1:1" x14ac:dyDescent="0.25">
      <c r="A263" s="42"/>
    </row>
    <row r="264" spans="1:1" x14ac:dyDescent="0.25">
      <c r="A264" s="42"/>
    </row>
    <row r="265" spans="1:1" x14ac:dyDescent="0.25">
      <c r="A265" s="42"/>
    </row>
    <row r="266" spans="1:1" x14ac:dyDescent="0.25">
      <c r="A266" s="42"/>
    </row>
    <row r="267" spans="1:1" x14ac:dyDescent="0.25">
      <c r="A267" s="42"/>
    </row>
    <row r="268" spans="1:1" x14ac:dyDescent="0.25">
      <c r="A268" s="42"/>
    </row>
    <row r="269" spans="1:1" x14ac:dyDescent="0.25">
      <c r="A269" s="42"/>
    </row>
    <row r="270" spans="1:1" x14ac:dyDescent="0.25">
      <c r="A270" s="42"/>
    </row>
    <row r="271" spans="1:1" x14ac:dyDescent="0.25">
      <c r="A271" s="42"/>
    </row>
    <row r="272" spans="1:1" x14ac:dyDescent="0.25">
      <c r="A272" s="42"/>
    </row>
    <row r="273" spans="1:1" x14ac:dyDescent="0.25">
      <c r="A273" s="42"/>
    </row>
    <row r="274" spans="1:1" x14ac:dyDescent="0.25">
      <c r="A274" s="42"/>
    </row>
    <row r="275" spans="1:1" x14ac:dyDescent="0.25">
      <c r="A275" s="42"/>
    </row>
    <row r="276" spans="1:1" x14ac:dyDescent="0.25">
      <c r="A276" s="42"/>
    </row>
    <row r="277" spans="1:1" x14ac:dyDescent="0.25">
      <c r="A277" s="42"/>
    </row>
    <row r="278" spans="1:1" x14ac:dyDescent="0.25">
      <c r="A278" s="42"/>
    </row>
    <row r="279" spans="1:1" x14ac:dyDescent="0.25">
      <c r="A279" s="42"/>
    </row>
    <row r="280" spans="1:1" x14ac:dyDescent="0.25">
      <c r="A280" s="42"/>
    </row>
    <row r="281" spans="1:1" x14ac:dyDescent="0.25">
      <c r="A281" s="42"/>
    </row>
    <row r="282" spans="1:1" x14ac:dyDescent="0.25">
      <c r="A282" s="42"/>
    </row>
    <row r="283" spans="1:1" x14ac:dyDescent="0.25">
      <c r="A283" s="42"/>
    </row>
    <row r="284" spans="1:1" x14ac:dyDescent="0.25">
      <c r="A284" s="42"/>
    </row>
    <row r="285" spans="1:1" x14ac:dyDescent="0.25">
      <c r="A285" s="42"/>
    </row>
    <row r="286" spans="1:1" x14ac:dyDescent="0.25">
      <c r="A286" s="42"/>
    </row>
    <row r="287" spans="1:1" x14ac:dyDescent="0.25">
      <c r="A287" s="42"/>
    </row>
    <row r="288" spans="1:1" x14ac:dyDescent="0.25">
      <c r="A288" s="42"/>
    </row>
    <row r="289" spans="1:1" x14ac:dyDescent="0.25">
      <c r="A289" s="42"/>
    </row>
    <row r="290" spans="1:1" x14ac:dyDescent="0.25">
      <c r="A290" s="42"/>
    </row>
    <row r="291" spans="1:1" x14ac:dyDescent="0.25">
      <c r="A291" s="42"/>
    </row>
    <row r="292" spans="1:1" x14ac:dyDescent="0.25">
      <c r="A292" s="42"/>
    </row>
    <row r="293" spans="1:1" x14ac:dyDescent="0.25">
      <c r="A293" s="42"/>
    </row>
    <row r="294" spans="1:1" x14ac:dyDescent="0.25">
      <c r="A294" s="42"/>
    </row>
    <row r="295" spans="1:1" x14ac:dyDescent="0.25">
      <c r="A295" s="42"/>
    </row>
    <row r="296" spans="1:1" x14ac:dyDescent="0.25">
      <c r="A296" s="42"/>
    </row>
    <row r="297" spans="1:1" x14ac:dyDescent="0.25">
      <c r="A297" s="42"/>
    </row>
    <row r="298" spans="1:1" x14ac:dyDescent="0.25">
      <c r="A298" s="42"/>
    </row>
    <row r="299" spans="1:1" x14ac:dyDescent="0.25">
      <c r="A299" s="42"/>
    </row>
    <row r="300" spans="1:1" x14ac:dyDescent="0.25">
      <c r="A300" s="42"/>
    </row>
    <row r="301" spans="1:1" x14ac:dyDescent="0.25">
      <c r="A301" s="42"/>
    </row>
    <row r="302" spans="1:1" x14ac:dyDescent="0.25">
      <c r="A302" s="42"/>
    </row>
    <row r="303" spans="1:1" x14ac:dyDescent="0.25">
      <c r="A303" s="42"/>
    </row>
    <row r="304" spans="1:1" x14ac:dyDescent="0.25">
      <c r="A304" s="42"/>
    </row>
    <row r="305" spans="1:1" x14ac:dyDescent="0.25">
      <c r="A305" s="42"/>
    </row>
    <row r="306" spans="1:1" x14ac:dyDescent="0.25">
      <c r="A306" s="42"/>
    </row>
    <row r="307" spans="1:1" x14ac:dyDescent="0.25">
      <c r="A307" s="42"/>
    </row>
    <row r="308" spans="1:1" x14ac:dyDescent="0.25">
      <c r="A308" s="42"/>
    </row>
    <row r="309" spans="1:1" x14ac:dyDescent="0.25">
      <c r="A309" s="42"/>
    </row>
    <row r="310" spans="1:1" x14ac:dyDescent="0.25">
      <c r="A310" s="42"/>
    </row>
    <row r="311" spans="1:1" x14ac:dyDescent="0.25">
      <c r="A311" s="42"/>
    </row>
    <row r="312" spans="1:1" x14ac:dyDescent="0.25">
      <c r="A312" s="42"/>
    </row>
    <row r="313" spans="1:1" x14ac:dyDescent="0.25">
      <c r="A313" s="42"/>
    </row>
    <row r="314" spans="1:1" x14ac:dyDescent="0.25">
      <c r="A314" s="42"/>
    </row>
    <row r="315" spans="1:1" x14ac:dyDescent="0.25">
      <c r="A315" s="42"/>
    </row>
    <row r="316" spans="1:1" x14ac:dyDescent="0.25">
      <c r="A316" s="42"/>
    </row>
    <row r="317" spans="1:1" x14ac:dyDescent="0.25">
      <c r="A317" s="42"/>
    </row>
    <row r="318" spans="1:1" x14ac:dyDescent="0.25">
      <c r="A318" s="42"/>
    </row>
    <row r="319" spans="1:1" x14ac:dyDescent="0.25">
      <c r="A319" s="42"/>
    </row>
    <row r="320" spans="1:1" x14ac:dyDescent="0.25">
      <c r="A320" s="42"/>
    </row>
    <row r="321" spans="1:1" x14ac:dyDescent="0.25">
      <c r="A321" s="42"/>
    </row>
    <row r="322" spans="1:1" x14ac:dyDescent="0.25">
      <c r="A322" s="42"/>
    </row>
    <row r="323" spans="1:1" x14ac:dyDescent="0.25">
      <c r="A323" s="42"/>
    </row>
    <row r="324" spans="1:1" x14ac:dyDescent="0.25">
      <c r="A324" s="42"/>
    </row>
    <row r="325" spans="1:1" x14ac:dyDescent="0.25">
      <c r="A325" s="42"/>
    </row>
    <row r="326" spans="1:1" x14ac:dyDescent="0.25">
      <c r="A326" s="42"/>
    </row>
    <row r="327" spans="1:1" x14ac:dyDescent="0.25">
      <c r="A327" s="42"/>
    </row>
    <row r="328" spans="1:1" x14ac:dyDescent="0.25">
      <c r="A328" s="42"/>
    </row>
    <row r="329" spans="1:1" x14ac:dyDescent="0.25">
      <c r="A329" s="42"/>
    </row>
    <row r="330" spans="1:1" x14ac:dyDescent="0.25">
      <c r="A330" s="42"/>
    </row>
    <row r="331" spans="1:1" x14ac:dyDescent="0.25">
      <c r="A331" s="42"/>
    </row>
    <row r="332" spans="1:1" x14ac:dyDescent="0.25">
      <c r="A332" s="42"/>
    </row>
    <row r="333" spans="1:1" x14ac:dyDescent="0.25">
      <c r="A333" s="42"/>
    </row>
    <row r="334" spans="1:1" x14ac:dyDescent="0.25">
      <c r="A334" s="42"/>
    </row>
    <row r="335" spans="1:1" x14ac:dyDescent="0.25">
      <c r="A335" s="42"/>
    </row>
    <row r="336" spans="1:1" x14ac:dyDescent="0.25">
      <c r="A336" s="42"/>
    </row>
    <row r="337" spans="1:1" x14ac:dyDescent="0.25">
      <c r="A337" s="42"/>
    </row>
    <row r="338" spans="1:1" x14ac:dyDescent="0.25">
      <c r="A338" s="42"/>
    </row>
    <row r="339" spans="1:1" x14ac:dyDescent="0.25">
      <c r="A339" s="42"/>
    </row>
    <row r="340" spans="1:1" x14ac:dyDescent="0.25">
      <c r="A340" s="42"/>
    </row>
    <row r="341" spans="1:1" x14ac:dyDescent="0.25">
      <c r="A341" s="42"/>
    </row>
    <row r="342" spans="1:1" x14ac:dyDescent="0.25">
      <c r="A342" s="42"/>
    </row>
    <row r="343" spans="1:1" x14ac:dyDescent="0.25">
      <c r="A343" s="42"/>
    </row>
    <row r="344" spans="1:1" x14ac:dyDescent="0.25">
      <c r="A344" s="42"/>
    </row>
    <row r="345" spans="1:1" x14ac:dyDescent="0.25">
      <c r="A345" s="42"/>
    </row>
    <row r="346" spans="1:1" x14ac:dyDescent="0.25">
      <c r="A346" s="42"/>
    </row>
    <row r="347" spans="1:1" x14ac:dyDescent="0.25">
      <c r="A347" s="42"/>
    </row>
    <row r="348" spans="1:1" x14ac:dyDescent="0.25">
      <c r="A348" s="42"/>
    </row>
    <row r="349" spans="1:1" x14ac:dyDescent="0.25">
      <c r="A349" s="42"/>
    </row>
    <row r="350" spans="1:1" x14ac:dyDescent="0.25">
      <c r="A350" s="42"/>
    </row>
    <row r="351" spans="1:1" x14ac:dyDescent="0.25">
      <c r="A351" s="42"/>
    </row>
    <row r="352" spans="1:1" x14ac:dyDescent="0.25">
      <c r="A352" s="42"/>
    </row>
    <row r="353" spans="1:1" x14ac:dyDescent="0.25">
      <c r="A353" s="42"/>
    </row>
    <row r="354" spans="1:1" x14ac:dyDescent="0.25">
      <c r="A354" s="42"/>
    </row>
    <row r="355" spans="1:1" x14ac:dyDescent="0.25">
      <c r="A355" s="42"/>
    </row>
    <row r="356" spans="1:1" x14ac:dyDescent="0.25">
      <c r="A356" s="42"/>
    </row>
    <row r="357" spans="1:1" x14ac:dyDescent="0.25">
      <c r="A357" s="42"/>
    </row>
    <row r="358" spans="1:1" x14ac:dyDescent="0.25">
      <c r="A358" s="42"/>
    </row>
    <row r="359" spans="1:1" x14ac:dyDescent="0.25">
      <c r="A359" s="42"/>
    </row>
    <row r="360" spans="1:1" x14ac:dyDescent="0.25">
      <c r="A360" s="42"/>
    </row>
    <row r="361" spans="1:1" x14ac:dyDescent="0.25">
      <c r="A361" s="42"/>
    </row>
    <row r="362" spans="1:1" x14ac:dyDescent="0.25">
      <c r="A362" s="42"/>
    </row>
    <row r="363" spans="1:1" x14ac:dyDescent="0.25">
      <c r="A363" s="42"/>
    </row>
    <row r="364" spans="1:1" x14ac:dyDescent="0.25">
      <c r="A364" s="42"/>
    </row>
    <row r="365" spans="1:1" x14ac:dyDescent="0.25">
      <c r="A365" s="42"/>
    </row>
    <row r="366" spans="1:1" x14ac:dyDescent="0.25">
      <c r="A366" s="42"/>
    </row>
    <row r="367" spans="1:1" x14ac:dyDescent="0.25">
      <c r="A367" s="42"/>
    </row>
    <row r="368" spans="1:1" x14ac:dyDescent="0.25">
      <c r="A368" s="42"/>
    </row>
    <row r="369" spans="1:1" x14ac:dyDescent="0.25">
      <c r="A369" s="42"/>
    </row>
    <row r="370" spans="1:1" x14ac:dyDescent="0.25">
      <c r="A370" s="42"/>
    </row>
    <row r="371" spans="1:1" x14ac:dyDescent="0.25">
      <c r="A371" s="42"/>
    </row>
    <row r="372" spans="1:1" x14ac:dyDescent="0.25">
      <c r="A372" s="42"/>
    </row>
    <row r="373" spans="1:1" x14ac:dyDescent="0.25">
      <c r="A373" s="42"/>
    </row>
    <row r="374" spans="1:1" x14ac:dyDescent="0.25">
      <c r="A374" s="42"/>
    </row>
    <row r="375" spans="1:1" x14ac:dyDescent="0.25">
      <c r="A375" s="42"/>
    </row>
    <row r="376" spans="1:1" x14ac:dyDescent="0.25">
      <c r="A376" s="42"/>
    </row>
    <row r="377" spans="1:1" x14ac:dyDescent="0.25">
      <c r="A377" s="42"/>
    </row>
    <row r="378" spans="1:1" x14ac:dyDescent="0.25">
      <c r="A378" s="42"/>
    </row>
    <row r="379" spans="1:1" x14ac:dyDescent="0.25">
      <c r="A379" s="42"/>
    </row>
    <row r="380" spans="1:1" x14ac:dyDescent="0.25">
      <c r="A380" s="42"/>
    </row>
    <row r="381" spans="1:1" x14ac:dyDescent="0.25">
      <c r="A381" s="42"/>
    </row>
  </sheetData>
  <mergeCells count="3">
    <mergeCell ref="A2:F2"/>
    <mergeCell ref="H3:M3"/>
    <mergeCell ref="A1:F1"/>
  </mergeCells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1">
      <colorScale>
        <cfvo type="min"/>
        <cfvo type="max"/>
        <color rgb="FF63BE7B"/>
        <color rgb="FFFCFC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workbookViewId="0">
      <selection activeCell="D24" sqref="D24"/>
    </sheetView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8" customWidth="1"/>
    <col min="5" max="5" width="16" customWidth="1"/>
    <col min="6" max="6" width="22" customWidth="1"/>
  </cols>
  <sheetData>
    <row r="1" spans="1:7" ht="27.95" customHeight="1" x14ac:dyDescent="0.25">
      <c r="A1" s="41" t="s">
        <v>74</v>
      </c>
      <c r="B1" s="35"/>
      <c r="C1" s="35"/>
      <c r="D1" s="35"/>
      <c r="E1" s="35"/>
      <c r="F1" s="35"/>
    </row>
    <row r="3" spans="1:7" x14ac:dyDescent="0.25">
      <c r="A3" s="9" t="s">
        <v>3</v>
      </c>
      <c r="B3" s="9" t="s">
        <v>75</v>
      </c>
      <c r="C3" s="9" t="s">
        <v>31</v>
      </c>
      <c r="D3" s="9" t="s">
        <v>76</v>
      </c>
      <c r="E3" s="9" t="s">
        <v>25</v>
      </c>
      <c r="F3" s="9" t="s">
        <v>77</v>
      </c>
    </row>
    <row r="4" spans="1:7" x14ac:dyDescent="0.25">
      <c r="A4" s="17">
        <v>7.0000000000000007E-2</v>
      </c>
      <c r="B4" s="2">
        <f>PMT(A4/12,180,-3000000)</f>
        <v>26964.848125572811</v>
      </c>
      <c r="C4" s="2">
        <f>B4-$B$6</f>
        <v>-3463.1493992807373</v>
      </c>
      <c r="D4" s="2">
        <f>B4*180</f>
        <v>4853672.6626031063</v>
      </c>
      <c r="E4" s="2">
        <f>D4-3000000</f>
        <v>1853672.6626031063</v>
      </c>
      <c r="F4" s="18" t="s">
        <v>78</v>
      </c>
    </row>
    <row r="5" spans="1:7" x14ac:dyDescent="0.25">
      <c r="A5" s="11">
        <v>0.08</v>
      </c>
      <c r="B5" s="2">
        <f t="shared" ref="B5:B8" si="0">PMT(A5/12,180,-3000000)</f>
        <v>28669.562529910545</v>
      </c>
      <c r="C5" s="2">
        <f t="shared" ref="C5:C8" si="1">B5-$B$6</f>
        <v>-1758.4349949430034</v>
      </c>
      <c r="D5" s="2">
        <f t="shared" ref="D5:D8" si="2">B5*180</f>
        <v>5160521.2553838985</v>
      </c>
      <c r="E5" s="2">
        <f t="shared" ref="E5:E8" si="3">D5-3000000</f>
        <v>2160521.2553838985</v>
      </c>
      <c r="F5" s="12" t="s">
        <v>79</v>
      </c>
    </row>
    <row r="6" spans="1:7" x14ac:dyDescent="0.25">
      <c r="A6" s="24">
        <v>0.09</v>
      </c>
      <c r="B6" s="2">
        <f t="shared" si="0"/>
        <v>30427.997524853548</v>
      </c>
      <c r="C6" s="2">
        <f t="shared" si="1"/>
        <v>0</v>
      </c>
      <c r="D6" s="2">
        <f t="shared" si="2"/>
        <v>5477039.5544736385</v>
      </c>
      <c r="E6" s="2">
        <f t="shared" si="3"/>
        <v>2477039.5544736385</v>
      </c>
      <c r="F6" s="25" t="s">
        <v>80</v>
      </c>
    </row>
    <row r="7" spans="1:7" x14ac:dyDescent="0.25">
      <c r="A7" s="26">
        <v>0.1</v>
      </c>
      <c r="B7" s="2">
        <f t="shared" si="0"/>
        <v>32238.153531243486</v>
      </c>
      <c r="C7" s="2">
        <f t="shared" si="1"/>
        <v>1810.1560063899378</v>
      </c>
      <c r="D7" s="2">
        <f t="shared" si="2"/>
        <v>5802867.6356238276</v>
      </c>
      <c r="E7" s="2">
        <f t="shared" si="3"/>
        <v>2802867.6356238276</v>
      </c>
      <c r="F7" s="27" t="s">
        <v>81</v>
      </c>
    </row>
    <row r="8" spans="1:7" x14ac:dyDescent="0.25">
      <c r="A8" s="28">
        <v>0.11</v>
      </c>
      <c r="B8" s="2">
        <f t="shared" si="0"/>
        <v>34097.908036682667</v>
      </c>
      <c r="C8" s="2">
        <f t="shared" si="1"/>
        <v>3669.9105118291191</v>
      </c>
      <c r="D8" s="2">
        <f t="shared" si="2"/>
        <v>6137623.44660288</v>
      </c>
      <c r="E8" s="2">
        <f t="shared" si="3"/>
        <v>3137623.44660288</v>
      </c>
      <c r="F8" s="29" t="s">
        <v>82</v>
      </c>
    </row>
    <row r="10" spans="1:7" x14ac:dyDescent="0.25">
      <c r="A10" s="30"/>
      <c r="B10" s="8"/>
      <c r="C10" s="8"/>
      <c r="D10" s="8"/>
      <c r="E10" s="8"/>
    </row>
    <row r="12" spans="1:7" x14ac:dyDescent="0.25">
      <c r="A12" s="36" t="s">
        <v>83</v>
      </c>
      <c r="B12" s="32"/>
      <c r="C12" s="32"/>
      <c r="D12" s="32"/>
      <c r="E12" s="32"/>
      <c r="F12" s="33"/>
    </row>
    <row r="13" spans="1:7" ht="35.1" customHeight="1" x14ac:dyDescent="0.25">
      <c r="A13" s="40" t="s">
        <v>84</v>
      </c>
      <c r="B13" s="35"/>
      <c r="C13" s="35"/>
      <c r="D13" s="35"/>
      <c r="E13" s="35"/>
      <c r="F13" s="35"/>
    </row>
    <row r="14" spans="1:7" x14ac:dyDescent="0.25">
      <c r="A14" s="35"/>
      <c r="B14" s="35"/>
      <c r="C14" s="35"/>
      <c r="D14" s="35"/>
      <c r="E14" s="35"/>
      <c r="F14" s="35"/>
    </row>
    <row r="15" spans="1:7" x14ac:dyDescent="0.25">
      <c r="A15" s="44">
        <f>PMT(G16/12,180,-G15)</f>
        <v>17976.565417048543</v>
      </c>
      <c r="B15">
        <v>2000000</v>
      </c>
      <c r="C15">
        <v>2500000</v>
      </c>
      <c r="D15">
        <v>3000000</v>
      </c>
      <c r="E15">
        <v>3500000</v>
      </c>
      <c r="G15">
        <v>2000000</v>
      </c>
    </row>
    <row r="16" spans="1:7" x14ac:dyDescent="0.25">
      <c r="A16" s="43">
        <f>7%</f>
        <v>7.0000000000000007E-2</v>
      </c>
      <c r="B16" s="44">
        <f t="dataTable" ref="B16:E19" dt2D="1" dtr="1" r1="G15" r2="G16"/>
        <v>17976.565417048543</v>
      </c>
      <c r="C16" s="44">
        <v>22470.706771310677</v>
      </c>
      <c r="D16" s="44">
        <v>26964.848125572811</v>
      </c>
      <c r="E16" s="44">
        <v>31458.989479834945</v>
      </c>
      <c r="G16">
        <v>7.0000000000000007E-2</v>
      </c>
    </row>
    <row r="17" spans="1:5" x14ac:dyDescent="0.25">
      <c r="A17" s="43">
        <v>0.08</v>
      </c>
      <c r="B17">
        <v>19113.04168660703</v>
      </c>
      <c r="C17">
        <v>23891.302108258787</v>
      </c>
      <c r="D17">
        <v>28669.562529910545</v>
      </c>
      <c r="E17">
        <v>33447.822951562302</v>
      </c>
    </row>
    <row r="18" spans="1:5" x14ac:dyDescent="0.25">
      <c r="A18" s="43">
        <v>0.09</v>
      </c>
      <c r="B18">
        <v>20285.331683235698</v>
      </c>
      <c r="C18">
        <v>25356.664604044625</v>
      </c>
      <c r="D18">
        <v>30427.997524853548</v>
      </c>
      <c r="E18">
        <v>35499.330445662476</v>
      </c>
    </row>
    <row r="19" spans="1:5" x14ac:dyDescent="0.25">
      <c r="A19" s="43">
        <v>0.1</v>
      </c>
      <c r="B19">
        <v>21492.102354162322</v>
      </c>
      <c r="C19">
        <v>26865.127942702904</v>
      </c>
      <c r="D19">
        <v>32238.153531243486</v>
      </c>
      <c r="E19">
        <v>37611.179119784065</v>
      </c>
    </row>
  </sheetData>
  <mergeCells count="3">
    <mergeCell ref="A13:F14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 Loan</vt:lpstr>
      <vt:lpstr>Amortization Table</vt:lpstr>
      <vt:lpstr>Rate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Munjurul Alam Piash</cp:lastModifiedBy>
  <dcterms:created xsi:type="dcterms:W3CDTF">2026-05-23T08:12:01Z</dcterms:created>
  <dcterms:modified xsi:type="dcterms:W3CDTF">2026-05-27T10:07:27Z</dcterms:modified>
</cp:coreProperties>
</file>